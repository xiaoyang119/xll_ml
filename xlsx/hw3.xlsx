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dney\Documents\GitHub\xll_ml\xlsx\"/>
    </mc:Choice>
  </mc:AlternateContent>
  <xr:revisionPtr revIDLastSave="0" documentId="13_ncr:1_{60E49238-501E-41E3-94A3-4E055AA841DA}" xr6:coauthVersionLast="47" xr6:coauthVersionMax="47" xr10:uidLastSave="{00000000-0000-0000-0000-000000000000}"/>
  <bookViews>
    <workbookView xWindow="-108" yWindow="-108" windowWidth="23256" windowHeight="12456" xr2:uid="{EA092A42-1670-4D44-86F1-B9E7694F8A62}"/>
  </bookViews>
  <sheets>
    <sheet name="Sheet1" sheetId="1" r:id="rId1"/>
  </sheets>
  <definedNames>
    <definedName name="f">Sheet1!$C$3</definedName>
    <definedName name="k">Sheet1!$C$5</definedName>
    <definedName name="m">Sheet1!$C$6</definedName>
    <definedName name="s">Sheet1!$C$4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 a="1"/>
  <c r="E4" i="1" s="1"/>
  <c r="H4" i="1" a="1"/>
  <c r="G4" i="1" a="1"/>
  <c r="F4" i="1" a="1"/>
  <c r="C6" i="1" a="1"/>
  <c r="H4" i="1" l="1"/>
  <c r="G4" i="1"/>
  <c r="F4" i="1"/>
  <c r="C6" i="1"/>
  <c r="C7" i="1" a="1"/>
  <c r="C7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<sst xmlns="http://schemas.openxmlformats.org/spreadsheetml/2006/main" count="9" uniqueCount="9">
  <si>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f</t>
  </si>
  <si>
    <t>s</t>
  </si>
  <si>
    <t>k</t>
  </si>
  <si>
    <t>put</t>
  </si>
  <si>
    <t>m</t>
  </si>
  <si>
    <t>Strike</t>
    <phoneticPr fontId="2" type="noConversion"/>
  </si>
  <si>
    <t>Put</t>
    <phoneticPr fontId="2" type="noConversion"/>
  </si>
  <si>
    <t>Call</t>
    <phoneticPr fontId="2" type="noConversion"/>
  </si>
  <si>
    <t>Moneyness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</si>
</sst>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0x&quot;#"/>
    <numFmt numFmtId="177" formatCode="0.0000"/>
  </numFmts>
  <fonts count="3" x14ac:knownFonts="1">
    <font>
      <sz val="14"/>
      <color theme="1"/>
      <name val="等线"/>
      <family val="2"/>
      <scheme val="minor"/>
    </font>
    <font>
      <sz val="8"/>
      <color indexed="63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6" fontId="1" fillId="0" borderId="0">
      <alignment horizontal="center" vertical="center"/>
    </xf>
  </cellStyleXfs>
  <cellXfs count="4">
    <xf numFmtId="0" fontId="0" fillId="0" borderId="0" xfId="0"/>
    <xf numFmtId="0" fontId="0" fillId="0" borderId="0" xfId="0" applyAlignment="1">
      <alignment horizontal="right"/>
    </xf>
    <xf numFmtId="176" fontId="1" fillId="0" borderId="0" xfId="1">
      <alignment horizontal="center" vertical="center"/>
    </xf>
    <xf numFmtId="177" fontId="0" fillId="0" borderId="0" xfId="0" applyNumberFormat="1"/>
  </cellXfs>
  <cellStyles count="2">
    <cellStyle name="Handle" xfId="1" xr:uid="{1D654BEF-DD87-407E-A523-E3474ECC1167}"/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6CDEE-4F3C-473F-9F8B-5F0D6CBFE894}">
  <dimension ref="B3:H12"/>
  <sheetViews>
    <sheetView tabSelected="1" workbookViewId="0">
      <selection activeCell="K8" sqref="K8"/>
    </sheetView>
  </sheetViews>
  <sheetFormatPr defaultRowHeight="17.399999999999999" x14ac:dyDescent="0.3"/>
  <cols>
    <col min="1" max="1" width="3.58203125" customWidth="1"/>
    <col min="3" max="3" width="11.6640625" bestFit="1" customWidth="1"/>
  </cols>
  <sheetData>
    <row r="3" spans="2:8" x14ac:dyDescent="0.3">
      <c r="B3" s="1" t="s">
        <v>0</v>
      </c>
      <c r="C3">
        <v>100</v>
      </c>
      <c r="E3" t="s">
        <v>5</v>
      </c>
      <c r="F3" t="s">
        <v>8</v>
      </c>
      <c r="G3" t="s">
        <v>7</v>
      </c>
      <c r="H3" t="s">
        <v>6</v>
      </c>
    </row>
    <row r="4" spans="2:8" x14ac:dyDescent="0.3">
      <c r="B4" s="1" t="s">
        <v>1</v>
      </c>
      <c r="C4">
        <v>0.1</v>
      </c>
      <c r="E4" cm="1">
        <f t="array" ref="E4:E12">_xlfn.SEQUENCE(9,1,80,5)</f>
        <v>80</v>
      </c>
      <c r="F4" cm="1">
        <f t="array" ref="F4:F12">_xlfn.MAP(_xlfn.ANCHORARRAY(E4), _xlfn.LAMBDA(_xlpm.k, _xll.OPTION.BLACK.MONEYNESS(f, s, _xlpm.k, m)))</f>
        <v>-2.1814355131420968</v>
      </c>
      <c r="G4" cm="1">
        <f t="array" ref="G4:G12">_xlfn.MAP(_xlfn.ANCHORARRAY(E4), _xlfn.LAMBDA(_xlpm.k, _xll.OPTION.BLACK.CALL(f, s, _xlpm.k, m)))</f>
        <v>20.039913489502155</v>
      </c>
      <c r="H4" cm="1">
        <f t="array" ref="H4:H12">_xlfn.MAP(_xlfn.ANCHORARRAY(E4), _xlfn.LAMBDA(_xlpm.k, _xll.OPTION.BLACK.PUT(f, s, _xlpm.k, m)))</f>
        <v>3.9913489502149124E-2</v>
      </c>
    </row>
    <row r="5" spans="2:8" x14ac:dyDescent="0.3">
      <c r="B5" s="1" t="s">
        <v>2</v>
      </c>
      <c r="C5">
        <v>100</v>
      </c>
      <c r="E5">
        <v>85</v>
      </c>
      <c r="F5">
        <v>-1.5751892949777493</v>
      </c>
      <c r="G5">
        <v>15.201690203245803</v>
      </c>
      <c r="H5">
        <v>0.20169020324580078</v>
      </c>
    </row>
    <row r="6" spans="2:8" x14ac:dyDescent="0.3">
      <c r="B6" s="1" t="s">
        <v>4</v>
      </c>
      <c r="C6" s="2" cm="1">
        <f t="array" ref="C6">_xll.\OPTION.NORMAL()</f>
        <v>2342376377968</v>
      </c>
      <c r="E6">
        <v>90</v>
      </c>
      <c r="F6">
        <v>-1.0036051565782627</v>
      </c>
      <c r="G6">
        <v>10.71237738374009</v>
      </c>
      <c r="H6">
        <v>0.7123773837400833</v>
      </c>
    </row>
    <row r="7" spans="2:8" x14ac:dyDescent="0.3">
      <c r="B7" s="1" t="s">
        <v>3</v>
      </c>
      <c r="C7" s="3" cm="1">
        <f t="array" ref="C7">_xll.OPTION.BLACK.PUT(f, s, k, m)</f>
        <v>3.9877746125013118</v>
      </c>
      <c r="E7">
        <v>95</v>
      </c>
      <c r="F7">
        <v>-0.46293294387550571</v>
      </c>
      <c r="G7">
        <v>6.8880683097281832</v>
      </c>
      <c r="H7">
        <v>1.8880683097281832</v>
      </c>
    </row>
    <row r="8" spans="2:8" x14ac:dyDescent="0.3">
      <c r="E8">
        <v>100</v>
      </c>
      <c r="F8">
        <v>5.000000000000001E-2</v>
      </c>
      <c r="G8">
        <v>3.9877746125013118</v>
      </c>
      <c r="H8">
        <v>3.9877746125013118</v>
      </c>
    </row>
    <row r="9" spans="2:8" x14ac:dyDescent="0.3">
      <c r="E9">
        <v>105</v>
      </c>
      <c r="F9">
        <v>0.53790164169432031</v>
      </c>
      <c r="G9">
        <v>2.0640245213143373</v>
      </c>
      <c r="H9">
        <v>7.0640245213143373</v>
      </c>
    </row>
    <row r="10" spans="2:8" x14ac:dyDescent="0.3">
      <c r="E10">
        <v>110</v>
      </c>
      <c r="F10">
        <v>1.0031017980432493</v>
      </c>
      <c r="G10">
        <v>0.95394336557325232</v>
      </c>
      <c r="H10">
        <v>10.953943365573252</v>
      </c>
    </row>
    <row r="11" spans="2:8" x14ac:dyDescent="0.3">
      <c r="E11">
        <v>115</v>
      </c>
      <c r="F11">
        <v>1.4476194237515863</v>
      </c>
      <c r="G11">
        <v>0.39494013244711823</v>
      </c>
      <c r="H11">
        <v>15.394940132447118</v>
      </c>
    </row>
    <row r="12" spans="2:8" x14ac:dyDescent="0.3">
      <c r="E12">
        <v>120</v>
      </c>
      <c r="F12">
        <v>1.8732155679395459</v>
      </c>
      <c r="G12">
        <v>0.14733515568501332</v>
      </c>
      <c r="H12">
        <v>20.147335155685013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4</vt:i4>
      </vt:variant>
    </vt:vector>
  </HeadingPairs>
  <TitlesOfParts>
    <vt:vector size="5" baseType="lpstr">
      <vt:lpstr>Sheet1</vt:lpstr>
      <vt:lpstr>f</vt:lpstr>
      <vt:lpstr>k</vt:lpstr>
      <vt:lpstr>m</vt:lpstr>
      <vt:lpstr>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Lewis</dc:creator>
  <cp:lastModifiedBy>Xiaoyang Zhang</cp:lastModifiedBy>
  <dcterms:created xsi:type="dcterms:W3CDTF">2026-02-10T16:40:49Z</dcterms:created>
  <dcterms:modified xsi:type="dcterms:W3CDTF">2026-02-16T01:42:29Z</dcterms:modified>
</cp:coreProperties>
</file>