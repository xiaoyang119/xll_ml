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ney\Documents\GitHub\xll_ml\xlsx\"/>
    </mc:Choice>
  </mc:AlternateContent>
  <xr:revisionPtr revIDLastSave="0" documentId="13_ncr:1_{F93AFAAB-9ECD-4931-BF95-0567EB5915EC}" xr6:coauthVersionLast="47" xr6:coauthVersionMax="47" xr10:uidLastSave="{00000000-0000-0000-0000-000000000000}"/>
  <bookViews>
    <workbookView xWindow="-108" yWindow="-108" windowWidth="23256" windowHeight="12456" activeTab="1" xr2:uid="{5E38A752-04D7-4C78-952F-E31FCF3159F7}"/>
  </bookViews>
  <sheets>
    <sheet name="Elementary" sheetId="1" r:id="rId1"/>
    <sheet name="Simulation" sheetId="4" r:id="rId2"/>
  </sheet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 a="1"/>
  <c r="O3" i="4" s="1"/>
  <c r="H4" i="1"/>
  <c r="F5" i="1"/>
  <c r="D5" i="1"/>
  <c r="D4" i="1"/>
  <c r="G2" i="4" a="1"/>
  <c r="I2" i="4" a="1"/>
  <c r="K2" i="4" a="1"/>
  <c r="J2" i="4" a="1"/>
  <c r="B10" i="4" a="1"/>
  <c r="B1" i="4" a="1"/>
  <c r="P3" i="4" l="1" a="1"/>
  <c r="P3" i="4" s="1"/>
  <c r="B1" i="4"/>
  <c r="N21" i="4"/>
  <c r="P20" i="4"/>
  <c r="K2" i="4"/>
  <c r="J2" i="4"/>
  <c r="I2" i="4"/>
  <c r="G2" i="4"/>
  <c r="B10" i="4"/>
  <c r="K5" i="1"/>
  <c r="E4" i="1"/>
  <c r="C10" i="4" a="1"/>
  <c r="M14" i="4" l="1"/>
  <c r="C10" i="4"/>
  <c r="L2" i="4"/>
  <c r="M2" i="4" s="1"/>
  <c r="G4" i="1"/>
  <c r="E5" i="1"/>
  <c r="J5" i="1" s="1"/>
  <c r="L5" i="1" s="1"/>
  <c r="J4" i="1"/>
  <c r="M20" i="4" a="1"/>
  <c r="M21" i="4" l="1"/>
  <c r="M20" i="4"/>
  <c r="E10" i="4" a="1"/>
  <c r="D10" i="4" a="1"/>
  <c r="D10" i="4" s="1"/>
  <c r="G5" i="1" a="1"/>
  <c r="G5" i="1" s="1"/>
  <c r="I5" i="1" s="1"/>
  <c r="I4" i="1"/>
  <c r="O20" i="4" a="1"/>
  <c r="M16" i="4" a="1"/>
  <c r="M16" i="4" l="1"/>
  <c r="N14" i="4"/>
  <c r="O20" i="4"/>
  <c r="O21" i="4"/>
  <c r="E10" i="4"/>
  <c r="I10" i="4" s="1" a="1"/>
  <c r="I10" i="4" s="1"/>
  <c r="N16" i="4" l="1"/>
  <c r="L10" i="4" a="1"/>
  <c r="L10" i="4" s="1"/>
  <c r="G3" i="4" a="1"/>
  <c r="G3" i="4" s="1"/>
  <c r="G4" i="4" l="1"/>
  <c r="G10" i="4" a="1"/>
  <c r="H4" i="4" a="1"/>
  <c r="H4" i="4" l="1"/>
  <c r="I4" i="4"/>
  <c r="G10" i="4"/>
  <c r="F10" i="4" s="1" a="1"/>
  <c r="F10" i="4" s="1"/>
  <c r="K10" i="4" s="1" a="1"/>
  <c r="M11" i="4"/>
  <c r="M10" i="4" l="1"/>
  <c r="N10" i="4" s="1"/>
  <c r="K10" i="4"/>
  <c r="G5" i="4" s="1" a="1"/>
  <c r="G5" i="4" s="1"/>
  <c r="N11" i="4"/>
  <c r="H10" i="4" a="1"/>
  <c r="H10" i="4" l="1"/>
  <c r="J10" i="4" s="1" a="1"/>
  <c r="J10" i="4" s="1"/>
  <c r="G6" i="4"/>
  <c r="H6" i="4" a="1"/>
  <c r="I6" i="4" l="1"/>
  <c r="J6" i="4" s="1"/>
  <c r="H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<sst xmlns="http://schemas.openxmlformats.org/spreadsheetml/2006/main" count="44" uniqueCount="34">
  <si>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</si>
  <si>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</si>
  <si>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</si>
  <si>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</si>
  <si>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</si>
  <si>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</si>
  <si>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</si>
  <si>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</si>
  <si>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</si>
  <si>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</si>
  <si>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</si>
  <si>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</si>
  <si>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</si>
  <si>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</si>
  <si>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</si>
  <si>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</si>
  <si>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</si>
  <si>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</si>
  <si>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</si>
  <si>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</si>
  <si>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</si>
  <si>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</si>
  <si>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</si>
  <si>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</si>
  <si>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</si>
  <si>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</si>
  <si>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</si>
  <si>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</si>
  <si>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</si>
  <si>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</si>
  <si>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</si>
  <si>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</si>
  <si>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</t>
    <phoneticPr fontId="13" type="noConversion"/>
  </si>
  <si>
    <t>accuracy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</si>
</sst>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&quot;0x&quot;#"/>
    <numFmt numFmtId="178" formatCode="0.0000"/>
    <numFmt numFmtId="179" formatCode="0.000"/>
    <numFmt numFmtId="180" formatCode="0.0%"/>
    <numFmt numFmtId="181" formatCode="_(* #,##0_);_(* \(#,##0\);_(* &quot;-&quot;??_);_(@_)"/>
  </numFmts>
  <fonts count="14" x14ac:knownFonts="1">
    <font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b/>
      <sz val="14"/>
      <color theme="0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rgb="FF3F3F3F"/>
      <name val="等线"/>
      <family val="2"/>
      <scheme val="minor"/>
    </font>
    <font>
      <sz val="14"/>
      <color rgb="FF3F3F76"/>
      <name val="等线"/>
      <family val="2"/>
      <scheme val="minor"/>
    </font>
    <font>
      <b/>
      <sz val="14"/>
      <color rgb="FFFA7D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0" tint="-0.499984740745262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77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176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78" fontId="0" fillId="0" borderId="0" xfId="0" applyNumberFormat="1"/>
    <xf numFmtId="178" fontId="5" fillId="0" borderId="0" xfId="0" applyNumberFormat="1" applyFont="1"/>
    <xf numFmtId="0" fontId="5" fillId="0" borderId="0" xfId="0" applyFont="1" applyAlignment="1">
      <alignment horizontal="right"/>
    </xf>
    <xf numFmtId="179" fontId="0" fillId="0" borderId="0" xfId="0" applyNumberFormat="1"/>
    <xf numFmtId="2" fontId="0" fillId="0" borderId="0" xfId="0" applyNumberFormat="1"/>
    <xf numFmtId="178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80" fontId="0" fillId="0" borderId="0" xfId="3" applyNumberFormat="1" applyFont="1" applyAlignment="1">
      <alignment horizontal="center"/>
    </xf>
    <xf numFmtId="181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8">
    <cellStyle name="Handle" xfId="2" xr:uid="{FF7A162F-DF08-42FE-AEB2-120BB5405C33}"/>
    <cellStyle name="百分比" xfId="3" builtinId="5"/>
    <cellStyle name="常规" xfId="0" builtinId="0"/>
    <cellStyle name="计算" xfId="7" builtinId="22"/>
    <cellStyle name="检查单元格" xfId="1" builtinId="23"/>
    <cellStyle name="千位分隔" xfId="5" builtinId="3"/>
    <cellStyle name="输出" xfId="4" builtinId="21"/>
    <cellStyle name="输入" xfId="6" builtinId="2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Simulation!$Q$9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Simulation!$P$10:$P$19</c:f>
              <c:numCache>
                <c:formatCode>General</c:formatCode>
                <c:ptCount val="10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</c:numCache>
            </c:numRef>
          </c:xVal>
          <c:yVal>
            <c:numRef>
              <c:f>Simulation!$Q$10:$Q$19</c:f>
              <c:numCache>
                <c:formatCode>General</c:formatCode>
                <c:ptCount val="10"/>
                <c:pt idx="0">
                  <c:v>0.75461482508342403</c:v>
                </c:pt>
                <c:pt idx="1">
                  <c:v>0.75730559189840219</c:v>
                </c:pt>
                <c:pt idx="2">
                  <c:v>0.76286929806413728</c:v>
                </c:pt>
                <c:pt idx="3">
                  <c:v>0.7715625646040104</c:v>
                </c:pt>
                <c:pt idx="4">
                  <c:v>0.77094737342986541</c:v>
                </c:pt>
                <c:pt idx="5">
                  <c:v>0.77869778494072139</c:v>
                </c:pt>
                <c:pt idx="6">
                  <c:v>0.7681375911406928</c:v>
                </c:pt>
                <c:pt idx="7">
                  <c:v>0.78803787165159633</c:v>
                </c:pt>
                <c:pt idx="8">
                  <c:v>0.77831123215415887</c:v>
                </c:pt>
                <c:pt idx="9">
                  <c:v>0.80498854179639612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1-4603-B38E-09E709B2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78768"/>
        <c:axId val="1959779248"/>
      </c:scatterChart>
      <c:valAx>
        <c:axId val="19597787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779248"/>
        <c:crosses val="autoZero"/>
        <c:crossBetween val="midCat"/>
      </c:valAx>
      <c:valAx>
        <c:axId val="1959779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7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116541</xdr:colOff>
      <xdr:row>9</xdr:row>
      <xdr:rowOff>26894</xdr:rowOff>
    </xdr:from>
    <xdr:to>
      <xdr:col>22</xdr:col>
      <xdr:colOff>744070</xdr:colOff>
      <xdr:row>21</xdr:row>
      <xdr:rowOff>80683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BC3EAF-A6D6-B410-25B3-34DADC0F3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/>
  </sheetViews>
  <sheetFormatPr defaultRowHeight="17.399999999999999" x14ac:dyDescent="0.3"/>
  <cols>
    <col min="1" max="1" width="3.58203125" customWidth="1"/>
  </cols>
  <sheetData>
    <row r="2" spans="2:12" ht="18" x14ac:dyDescent="0.35">
      <c r="C2" s="22" t="s">
        <v>0</v>
      </c>
      <c r="D2" s="22"/>
      <c r="E2" s="23" t="s">
        <v>10</v>
      </c>
      <c r="F2" s="23"/>
      <c r="G2" s="23" t="s">
        <v>13</v>
      </c>
      <c r="H2" s="23"/>
      <c r="I2" s="1" t="s">
        <v>11</v>
      </c>
      <c r="J2" s="2" t="s">
        <v>12</v>
      </c>
    </row>
    <row r="3" spans="2:12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" thickBot="1" x14ac:dyDescent="0.35">
      <c r="B4">
        <v>0</v>
      </c>
      <c r="C4">
        <v>1</v>
      </c>
      <c r="D4">
        <f ca="1">RAND()</f>
        <v>0.68484385371733236</v>
      </c>
      <c r="E4">
        <f ca="1">-F4*D4</f>
        <v>-2.0545315611519972</v>
      </c>
      <c r="F4" s="17">
        <v>3</v>
      </c>
      <c r="G4">
        <f ca="1">E4</f>
        <v>-2.0545315611519972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600000000000001" thickTop="1" thickBot="1" x14ac:dyDescent="0.35">
      <c r="B5">
        <v>1</v>
      </c>
      <c r="C5">
        <v>1</v>
      </c>
      <c r="D5">
        <f ca="1">RAND()</f>
        <v>0.25116587623227815</v>
      </c>
      <c r="E5">
        <f ca="1">-E4</f>
        <v>2.0545315611519972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-1.3010339324551627</v>
      </c>
      <c r="K5">
        <f ca="1">F4*(D5-D4)</f>
        <v>-1.3010339324551627</v>
      </c>
      <c r="L5" s="5">
        <f ca="1">J5-K5</f>
        <v>0</v>
      </c>
    </row>
    <row r="6" spans="2:12" ht="18" thickTop="1" x14ac:dyDescent="0.3"/>
  </sheetData>
  <mergeCells count="3">
    <mergeCell ref="C2:D2"/>
    <mergeCell ref="E2:F2"/>
    <mergeCell ref="G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Q260"/>
  <sheetViews>
    <sheetView tabSelected="1" topLeftCell="E7" zoomScale="85" zoomScaleNormal="85" workbookViewId="0">
      <selection activeCell="P23" sqref="P23"/>
    </sheetView>
  </sheetViews>
  <sheetFormatPr defaultRowHeight="17.399999999999999" x14ac:dyDescent="0.3"/>
  <cols>
    <col min="1" max="1" width="3.58203125" customWidth="1"/>
    <col min="2" max="2" width="9.9140625" bestFit="1" customWidth="1"/>
    <col min="7" max="7" width="11.6640625" bestFit="1" customWidth="1"/>
    <col min="10" max="10" width="10.1640625" bestFit="1" customWidth="1"/>
    <col min="13" max="13" width="11.6640625" bestFit="1" customWidth="1"/>
  </cols>
  <sheetData>
    <row r="1" spans="2:17" x14ac:dyDescent="0.3">
      <c r="B1" s="16" cm="1">
        <f t="array" aca="1" ref="B1" ca="1">_xll.MONTE.COUNT()</f>
        <v>0</v>
      </c>
    </row>
    <row r="2" spans="2:17" x14ac:dyDescent="0.3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17" x14ac:dyDescent="0.3">
      <c r="B3" s="3" t="s">
        <v>16</v>
      </c>
      <c r="C3">
        <v>100</v>
      </c>
      <c r="F3" s="3" t="s">
        <v>28</v>
      </c>
      <c r="G3" s="7" cm="1">
        <f t="array" aca="1" ref="G3" ca="1">_xlfn.TAKE(S_,-1)</f>
        <v>95.838392941965949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17" x14ac:dyDescent="0.3">
      <c r="B4" s="3" t="s">
        <v>14</v>
      </c>
      <c r="C4">
        <v>0.2</v>
      </c>
      <c r="F4" s="3" t="s">
        <v>24</v>
      </c>
      <c r="G4" s="10">
        <f ca="1">MAX(k - last,0)</f>
        <v>4.1616070580340505</v>
      </c>
      <c r="H4" s="10">
        <f t="array" aca="1" ref="H4:I4" ca="1">_xll.MONTE.STDEV(G4)</f>
        <v>3.957456139047614</v>
      </c>
      <c r="I4" s="10">
        <f ca="1"/>
        <v>5.4721547423886223</v>
      </c>
      <c r="M4">
        <v>1E-3</v>
      </c>
      <c r="N4" s="6">
        <v>2</v>
      </c>
      <c r="O4" s="6">
        <v>1</v>
      </c>
      <c r="P4" s="6">
        <v>2</v>
      </c>
    </row>
    <row r="5" spans="2:17" x14ac:dyDescent="0.3">
      <c r="B5" s="3" t="s">
        <v>1</v>
      </c>
      <c r="C5">
        <v>0.25</v>
      </c>
      <c r="F5" s="3" t="s">
        <v>25</v>
      </c>
      <c r="G5" s="10" cm="1">
        <f t="array" aca="1" ref="G5" ca="1">_xlfn.TAKE(A,-1)</f>
        <v>3.8175651244578859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7" x14ac:dyDescent="0.3">
      <c r="B6" s="3" t="s">
        <v>21</v>
      </c>
      <c r="C6">
        <v>1E-3</v>
      </c>
      <c r="F6" s="3" t="s">
        <v>29</v>
      </c>
      <c r="G6" s="10">
        <f ca="1">payoff-hedge</f>
        <v>0.34404193357616464</v>
      </c>
      <c r="H6" s="7">
        <f t="array" aca="1" ref="H6:I6" ca="1">_xll.MONTE.STDEV(error)</f>
        <v>-3.0101415332846909E-2</v>
      </c>
      <c r="I6" s="12">
        <f ca="1"/>
        <v>3.0092236960191574</v>
      </c>
      <c r="J6" s="15">
        <f ca="1">I6/put</f>
        <v>0.75461482508342403</v>
      </c>
      <c r="K6" s="14" t="s">
        <v>30</v>
      </c>
      <c r="M6">
        <v>0.1</v>
      </c>
    </row>
    <row r="7" spans="2:17" x14ac:dyDescent="0.3">
      <c r="B7" s="3" t="s">
        <v>17</v>
      </c>
      <c r="C7">
        <v>100</v>
      </c>
    </row>
    <row r="8" spans="2:17" ht="18" x14ac:dyDescent="0.35">
      <c r="D8" s="20" t="s">
        <v>0</v>
      </c>
      <c r="E8" s="20"/>
      <c r="F8" s="21" t="s">
        <v>10</v>
      </c>
      <c r="G8" s="21"/>
      <c r="H8" s="21" t="s">
        <v>13</v>
      </c>
      <c r="I8" s="21"/>
      <c r="J8" s="1" t="s">
        <v>11</v>
      </c>
      <c r="K8" s="2" t="s">
        <v>12</v>
      </c>
    </row>
    <row r="9" spans="2:17" x14ac:dyDescent="0.3">
      <c r="B9" s="4" t="s">
        <v>22</v>
      </c>
      <c r="C9" s="4" t="s">
        <v>23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26</v>
      </c>
      <c r="I9" s="4" t="s">
        <v>27</v>
      </c>
      <c r="J9" s="4" t="s">
        <v>8</v>
      </c>
      <c r="K9" s="4" t="s">
        <v>9</v>
      </c>
      <c r="L9" s="13" t="s">
        <v>31</v>
      </c>
      <c r="P9" t="s">
        <v>32</v>
      </c>
      <c r="Q9" t="s">
        <v>33</v>
      </c>
    </row>
    <row r="10" spans="2:17" x14ac:dyDescent="0.3">
      <c r="B10" cm="1">
        <f t="array" ref="B10:B260">_xll.ARRAY.SEQUENCE(0, t, dt)</f>
        <v>0</v>
      </c>
      <c r="C10" cm="1">
        <f t="array" aca="1" ref="C10:C260" ca="1">_xll.RANDOM.BROWNIAN(t_)</f>
        <v>0</v>
      </c>
      <c r="D10" cm="1">
        <f t="array" aca="1" ref="D10:D260" ca="1">1+0*B_</f>
        <v>1</v>
      </c>
      <c r="E10" cm="1">
        <f t="array" aca="1" ref="E10:E260" ca="1">f*EXP(sigma*B_+(mu-sigma*sigma/2)*t_)</f>
        <v>100</v>
      </c>
      <c r="F10" s="10" cm="1">
        <f t="array" aca="1" ref="F10:F260" ca="1">co(put*(t_ = 0) - N*S_/R_)</f>
        <v>3.987761167674492</v>
      </c>
      <c r="G10" s="7" cm="1">
        <f t="array" aca="1" ref="G10:G260" ca="1">co(ad(_N))</f>
        <v>0</v>
      </c>
      <c r="H10" s="10" cm="1">
        <f t="array" aca="1" ref="H10:H260" ca="1">_xlfn.SCAN(0,M,_xlfn.LAMBDA(_xlpm.a,_xlpm.b,_xlpm.a+_xlpm.b))</f>
        <v>3.987761167674492</v>
      </c>
      <c r="I10" s="7" cm="1">
        <f t="array" aca="1" ref="I10:I260" ca="1">_xlfn.VSTACK(_xlfn.DROP(_xlfn.MAP(t_, S_, _xlfn.LAMBDA(_xlpm._t,_xlpm._S, -(_xlpm._S&lt;k))), -1), 0)</f>
        <v>0</v>
      </c>
      <c r="J10" s="7" cm="1">
        <f t="array" aca="1" ref="J10:J260" ca="1">_M * R_ + _N * S_</f>
        <v>3.987761167674492</v>
      </c>
      <c r="K10" cm="1">
        <f t="array" aca="1" ref="K10:K260" ca="1">-M * R_ - N * S_</f>
        <v>-3.987761167674492</v>
      </c>
      <c r="L10" cm="1">
        <f t="array" aca="1" ref="L10:L260" ca="1">_xlfn.MAP(S_,_xlfn.LAMBDA(_xlpm.s,MAX(k-_xlpm.s,0)))</f>
        <v>0</v>
      </c>
      <c r="M10" s="19">
        <f ca="1">put - G10*E10</f>
        <v>3.987761167674492</v>
      </c>
      <c r="N10" s="19">
        <f ca="1">F10-M10</f>
        <v>0</v>
      </c>
      <c r="P10">
        <v>1E-3</v>
      </c>
      <c r="Q10">
        <v>0.75461482508342403</v>
      </c>
    </row>
    <row r="11" spans="2:17" x14ac:dyDescent="0.3">
      <c r="B11">
        <v>1E-3</v>
      </c>
      <c r="C11">
        <f ca="1"/>
        <v>-3.3939301943986394E-2</v>
      </c>
      <c r="D11">
        <f ca="1"/>
        <v>1</v>
      </c>
      <c r="E11" s="11">
        <f ca="1"/>
        <v>99.32152605948437</v>
      </c>
      <c r="F11" s="10">
        <f ca="1"/>
        <v>99.32152605948437</v>
      </c>
      <c r="G11" s="7">
        <f ca="1"/>
        <v>-1</v>
      </c>
      <c r="H11" s="10">
        <f ca="1"/>
        <v>103.30928722715886</v>
      </c>
      <c r="I11" s="7">
        <f ca="1"/>
        <v>-1</v>
      </c>
      <c r="J11" s="7">
        <f ca="1"/>
        <v>3.987761167674492</v>
      </c>
      <c r="K11">
        <f ca="1"/>
        <v>0</v>
      </c>
      <c r="L11">
        <f ca="1"/>
        <v>0.67847394051563015</v>
      </c>
      <c r="M11" s="19">
        <f ca="1" xml:space="preserve"> - G11*E11</f>
        <v>99.32152605948437</v>
      </c>
      <c r="N11" s="19">
        <f ca="1">F11-M11</f>
        <v>0</v>
      </c>
      <c r="P11">
        <v>2E-3</v>
      </c>
      <c r="Q11">
        <v>0.75730559189840219</v>
      </c>
    </row>
    <row r="12" spans="2:17" x14ac:dyDescent="0.3">
      <c r="B12">
        <v>2E-3</v>
      </c>
      <c r="C12">
        <f ca="1"/>
        <v>-7.1927177313473659E-3</v>
      </c>
      <c r="D12">
        <f ca="1"/>
        <v>1</v>
      </c>
      <c r="E12" s="11">
        <f ca="1"/>
        <v>99.852254896073362</v>
      </c>
      <c r="F12" s="10">
        <f ca="1"/>
        <v>0</v>
      </c>
      <c r="G12" s="7">
        <f ca="1"/>
        <v>0</v>
      </c>
      <c r="H12" s="10">
        <f ca="1"/>
        <v>103.30928722715886</v>
      </c>
      <c r="I12" s="7">
        <f ca="1"/>
        <v>-1</v>
      </c>
      <c r="J12" s="7">
        <f ca="1"/>
        <v>3.4570323310855002</v>
      </c>
      <c r="K12">
        <f ca="1"/>
        <v>0</v>
      </c>
      <c r="L12">
        <f ca="1"/>
        <v>0.14774510392663842</v>
      </c>
      <c r="P12">
        <v>3.0000000000000001E-3</v>
      </c>
      <c r="Q12">
        <v>0.76286929806413728</v>
      </c>
    </row>
    <row r="13" spans="2:17" x14ac:dyDescent="0.3">
      <c r="B13">
        <v>3.0000000000000001E-3</v>
      </c>
      <c r="C13">
        <f ca="1"/>
        <v>-1.0613316821235874E-2</v>
      </c>
      <c r="D13">
        <f ca="1"/>
        <v>1</v>
      </c>
      <c r="E13" s="11">
        <f ca="1"/>
        <v>99.781971691333709</v>
      </c>
      <c r="F13" s="10">
        <f ca="1"/>
        <v>0</v>
      </c>
      <c r="G13" s="7">
        <f ca="1"/>
        <v>0</v>
      </c>
      <c r="H13" s="10">
        <f ca="1"/>
        <v>103.30928722715886</v>
      </c>
      <c r="I13" s="7">
        <f ca="1"/>
        <v>-1</v>
      </c>
      <c r="J13" s="7">
        <f ca="1"/>
        <v>3.5273155358251529</v>
      </c>
      <c r="K13">
        <f ca="1"/>
        <v>0</v>
      </c>
      <c r="L13">
        <f ca="1"/>
        <v>0.21802830866629108</v>
      </c>
      <c r="P13">
        <v>4.0000000000000001E-3</v>
      </c>
      <c r="Q13">
        <v>0.7715625646040104</v>
      </c>
    </row>
    <row r="14" spans="2:17" x14ac:dyDescent="0.3">
      <c r="B14">
        <v>4.0000000000000001E-3</v>
      </c>
      <c r="C14">
        <f ca="1"/>
        <v>-7.6233508156845278E-4</v>
      </c>
      <c r="D14">
        <f ca="1"/>
        <v>1</v>
      </c>
      <c r="E14" s="11">
        <f ca="1"/>
        <v>99.976756000204944</v>
      </c>
      <c r="F14" s="10">
        <f ca="1"/>
        <v>0</v>
      </c>
      <c r="G14" s="7">
        <f ca="1"/>
        <v>0</v>
      </c>
      <c r="H14" s="10">
        <f ca="1"/>
        <v>103.30928722715886</v>
      </c>
      <c r="I14" s="7">
        <f ca="1"/>
        <v>-1</v>
      </c>
      <c r="J14" s="7">
        <f ca="1"/>
        <v>3.3325312269539182</v>
      </c>
      <c r="K14">
        <f ca="1"/>
        <v>0</v>
      </c>
      <c r="L14">
        <f ca="1"/>
        <v>2.3243999795056425E-2</v>
      </c>
      <c r="M14" s="19">
        <f ca="1">f*EXP(sigma*C14-sigma^2*B14/2)</f>
        <v>99.976756000204944</v>
      </c>
      <c r="N14" s="19">
        <f ca="1">E14-M14</f>
        <v>0</v>
      </c>
      <c r="P14">
        <v>5.0000000000000001E-3</v>
      </c>
      <c r="Q14">
        <v>0.77094737342986541</v>
      </c>
    </row>
    <row r="15" spans="2:17" x14ac:dyDescent="0.3">
      <c r="B15">
        <v>5.0000000000000001E-3</v>
      </c>
      <c r="C15">
        <f ca="1"/>
        <v>-3.2152736898393236E-2</v>
      </c>
      <c r="D15">
        <f ca="1"/>
        <v>1</v>
      </c>
      <c r="E15" s="11">
        <f ca="1"/>
        <v>99.34907303013631</v>
      </c>
      <c r="F15" s="10">
        <f ca="1"/>
        <v>0</v>
      </c>
      <c r="G15" s="7">
        <f ca="1"/>
        <v>0</v>
      </c>
      <c r="H15" s="10">
        <f ca="1"/>
        <v>103.30928722715886</v>
      </c>
      <c r="I15" s="7">
        <f ca="1"/>
        <v>-1</v>
      </c>
      <c r="J15" s="7">
        <f ca="1"/>
        <v>3.9602141970225517</v>
      </c>
      <c r="K15">
        <f ca="1"/>
        <v>0</v>
      </c>
      <c r="L15">
        <f ca="1"/>
        <v>0.65092696986368992</v>
      </c>
      <c r="P15">
        <v>6.0000000000000001E-3</v>
      </c>
      <c r="Q15">
        <v>0.77869778494072139</v>
      </c>
    </row>
    <row r="16" spans="2:17" x14ac:dyDescent="0.3">
      <c r="B16">
        <v>6.0000000000000001E-3</v>
      </c>
      <c r="C16">
        <f ca="1"/>
        <v>-2.4903950939670863E-2</v>
      </c>
      <c r="D16">
        <f ca="1"/>
        <v>1</v>
      </c>
      <c r="E16" s="11">
        <f ca="1"/>
        <v>99.491219675173554</v>
      </c>
      <c r="F16" s="10">
        <f ca="1"/>
        <v>0</v>
      </c>
      <c r="G16" s="7">
        <f ca="1"/>
        <v>0</v>
      </c>
      <c r="H16" s="10">
        <f ca="1"/>
        <v>103.30928722715886</v>
      </c>
      <c r="I16" s="7">
        <f ca="1"/>
        <v>-1</v>
      </c>
      <c r="J16" s="7">
        <f ca="1"/>
        <v>3.8180675519853082</v>
      </c>
      <c r="K16">
        <f ca="1"/>
        <v>0</v>
      </c>
      <c r="L16">
        <f ca="1"/>
        <v>0.50878032482644642</v>
      </c>
      <c r="M16" s="19" cm="1">
        <f t="array" aca="1" ref="M16" ca="1">_xll.OPTION.BLACK.PUT_DELTA(E16,sigma*SQRT(t - B16),k)</f>
        <v>-0.50089158871849959</v>
      </c>
      <c r="N16" s="19">
        <f ca="1">I16-M16</f>
        <v>-0.49910841128150041</v>
      </c>
      <c r="P16">
        <v>7.0000000000000001E-3</v>
      </c>
      <c r="Q16">
        <v>0.7681375911406928</v>
      </c>
    </row>
    <row r="17" spans="2:17" x14ac:dyDescent="0.3">
      <c r="B17">
        <v>7.0000000000000001E-3</v>
      </c>
      <c r="C17">
        <f ca="1"/>
        <v>-5.8588355010830463E-2</v>
      </c>
      <c r="D17">
        <f ca="1"/>
        <v>1</v>
      </c>
      <c r="E17" s="11">
        <f ca="1"/>
        <v>98.821235412703786</v>
      </c>
      <c r="F17" s="10">
        <f ca="1"/>
        <v>0</v>
      </c>
      <c r="G17" s="7">
        <f ca="1"/>
        <v>0</v>
      </c>
      <c r="H17" s="10">
        <f ca="1"/>
        <v>103.30928722715886</v>
      </c>
      <c r="I17" s="7">
        <f ca="1"/>
        <v>-1</v>
      </c>
      <c r="J17" s="7">
        <f ca="1"/>
        <v>4.4880518144550763</v>
      </c>
      <c r="K17">
        <f ca="1"/>
        <v>0</v>
      </c>
      <c r="L17">
        <f ca="1"/>
        <v>1.1787645872962145</v>
      </c>
      <c r="P17">
        <v>8.0000000000000002E-3</v>
      </c>
      <c r="Q17">
        <v>0.78803787165159633</v>
      </c>
    </row>
    <row r="18" spans="2:17" x14ac:dyDescent="0.3">
      <c r="B18">
        <v>8.0000000000000002E-3</v>
      </c>
      <c r="C18">
        <f ca="1"/>
        <v>-5.1785478325379934E-2</v>
      </c>
      <c r="D18">
        <f ca="1"/>
        <v>1</v>
      </c>
      <c r="E18" s="11">
        <f ca="1"/>
        <v>98.953801561280144</v>
      </c>
      <c r="F18" s="10">
        <f ca="1"/>
        <v>0</v>
      </c>
      <c r="G18" s="7">
        <f ca="1"/>
        <v>0</v>
      </c>
      <c r="H18" s="10">
        <f ca="1"/>
        <v>103.30928722715886</v>
      </c>
      <c r="I18" s="7">
        <f ca="1"/>
        <v>-1</v>
      </c>
      <c r="J18" s="7">
        <f ca="1"/>
        <v>4.3554856658787173</v>
      </c>
      <c r="K18">
        <f ca="1"/>
        <v>0</v>
      </c>
      <c r="L18">
        <f ca="1"/>
        <v>1.0461984387198555</v>
      </c>
      <c r="P18">
        <v>8.9999999999999993E-3</v>
      </c>
      <c r="Q18">
        <v>0.77831123215415887</v>
      </c>
    </row>
    <row r="19" spans="2:17" x14ac:dyDescent="0.3">
      <c r="B19">
        <v>9.0000000000000011E-3</v>
      </c>
      <c r="C19">
        <f ca="1"/>
        <v>-7.2891741585843273E-2</v>
      </c>
      <c r="D19">
        <f ca="1"/>
        <v>1</v>
      </c>
      <c r="E19" s="11">
        <f ca="1"/>
        <v>98.53500223264318</v>
      </c>
      <c r="F19" s="10">
        <f ca="1"/>
        <v>0</v>
      </c>
      <c r="G19" s="7">
        <f ca="1"/>
        <v>0</v>
      </c>
      <c r="H19" s="10">
        <f ca="1"/>
        <v>103.30928722715886</v>
      </c>
      <c r="I19" s="7">
        <f ca="1"/>
        <v>-1</v>
      </c>
      <c r="J19" s="7">
        <f ca="1"/>
        <v>4.774284994515682</v>
      </c>
      <c r="K19">
        <f ca="1"/>
        <v>0</v>
      </c>
      <c r="L19">
        <f ca="1"/>
        <v>1.4649977673568202</v>
      </c>
      <c r="P19">
        <v>0.01</v>
      </c>
      <c r="Q19">
        <v>0.80498854179639612</v>
      </c>
    </row>
    <row r="20" spans="2:17" x14ac:dyDescent="0.3">
      <c r="B20">
        <v>0.01</v>
      </c>
      <c r="C20">
        <f ca="1"/>
        <v>-5.0094394510111807E-2</v>
      </c>
      <c r="D20">
        <f ca="1"/>
        <v>1</v>
      </c>
      <c r="E20" s="11">
        <f ca="1"/>
        <v>98.983315644252016</v>
      </c>
      <c r="F20" s="10">
        <f ca="1"/>
        <v>0</v>
      </c>
      <c r="G20" s="7">
        <f ca="1"/>
        <v>0</v>
      </c>
      <c r="H20" s="10">
        <f ca="1"/>
        <v>103.30928722715886</v>
      </c>
      <c r="I20" s="7">
        <f ca="1"/>
        <v>-1</v>
      </c>
      <c r="J20" s="7">
        <f ca="1"/>
        <v>4.3259715829068455</v>
      </c>
      <c r="K20">
        <f ca="1"/>
        <v>0</v>
      </c>
      <c r="L20">
        <f ca="1"/>
        <v>1.0166843557479837</v>
      </c>
      <c r="M20" s="6">
        <f t="array" aca="1" ref="M20:M21" ca="1">_xll.MONTE.STDEV(C20)</f>
        <v>-2.2203424959250278E-3</v>
      </c>
      <c r="N20" s="6">
        <v>0</v>
      </c>
      <c r="O20" s="6">
        <f t="array" aca="1" ref="O20:O21" ca="1">_xll.MONTE.STDEV(E20)</f>
        <v>99.955747055534431</v>
      </c>
      <c r="P20" s="6">
        <f>f*EXP(mu*B20)</f>
        <v>100</v>
      </c>
    </row>
    <row r="21" spans="2:17" x14ac:dyDescent="0.3">
      <c r="B21">
        <v>1.0999999999999999E-2</v>
      </c>
      <c r="C21">
        <f ca="1"/>
        <v>-5.7472146068757994E-2</v>
      </c>
      <c r="D21">
        <f ca="1"/>
        <v>1</v>
      </c>
      <c r="E21" s="11">
        <f ca="1"/>
        <v>98.835391757063476</v>
      </c>
      <c r="F21" s="10">
        <f ca="1"/>
        <v>0</v>
      </c>
      <c r="G21" s="7">
        <f ca="1"/>
        <v>0</v>
      </c>
      <c r="H21" s="10">
        <f ca="1"/>
        <v>103.30928722715886</v>
      </c>
      <c r="I21" s="7">
        <f ca="1"/>
        <v>-1</v>
      </c>
      <c r="J21" s="7">
        <f ca="1"/>
        <v>4.4738954700953855</v>
      </c>
      <c r="K21">
        <f ca="1"/>
        <v>0</v>
      </c>
      <c r="L21">
        <f ca="1"/>
        <v>1.1646082429365237</v>
      </c>
      <c r="M21" s="6">
        <f ca="1"/>
        <v>0.10036700131146431</v>
      </c>
      <c r="N21" s="6">
        <f>SQRT(B20)</f>
        <v>0.1</v>
      </c>
      <c r="O21" s="6">
        <f ca="1"/>
        <v>2.006513969300002</v>
      </c>
      <c r="P21" s="6"/>
    </row>
    <row r="22" spans="2:17" x14ac:dyDescent="0.3">
      <c r="B22">
        <v>1.2E-2</v>
      </c>
      <c r="C22">
        <f ca="1"/>
        <v>-0.12232834870867357</v>
      </c>
      <c r="D22">
        <f ca="1"/>
        <v>1</v>
      </c>
      <c r="E22" s="11">
        <f ca="1"/>
        <v>97.559701749646933</v>
      </c>
      <c r="F22" s="10">
        <f ca="1"/>
        <v>0</v>
      </c>
      <c r="G22" s="7">
        <f ca="1"/>
        <v>0</v>
      </c>
      <c r="H22" s="10">
        <f ca="1"/>
        <v>103.30928722715886</v>
      </c>
      <c r="I22" s="7">
        <f ca="1"/>
        <v>-1</v>
      </c>
      <c r="J22" s="7">
        <f ca="1"/>
        <v>5.7495854775119284</v>
      </c>
      <c r="K22">
        <f ca="1"/>
        <v>0</v>
      </c>
      <c r="L22">
        <f ca="1"/>
        <v>2.4402982503530666</v>
      </c>
    </row>
    <row r="23" spans="2:17" x14ac:dyDescent="0.3">
      <c r="B23">
        <v>1.3000000000000001E-2</v>
      </c>
      <c r="C23">
        <f ca="1"/>
        <v>-0.13979467817816407</v>
      </c>
      <c r="D23">
        <f ca="1"/>
        <v>1</v>
      </c>
      <c r="E23" s="11">
        <f ca="1"/>
        <v>97.217549963903323</v>
      </c>
      <c r="F23" s="10">
        <f ca="1"/>
        <v>0</v>
      </c>
      <c r="G23" s="7">
        <f ca="1"/>
        <v>0</v>
      </c>
      <c r="H23" s="10">
        <f ca="1"/>
        <v>103.30928722715886</v>
      </c>
      <c r="I23" s="7">
        <f ca="1"/>
        <v>-1</v>
      </c>
      <c r="J23" s="7">
        <f ca="1"/>
        <v>6.0917372632555384</v>
      </c>
      <c r="K23">
        <f ca="1"/>
        <v>0</v>
      </c>
      <c r="L23">
        <f ca="1"/>
        <v>2.7824500360966766</v>
      </c>
    </row>
    <row r="24" spans="2:17" x14ac:dyDescent="0.3">
      <c r="B24">
        <v>1.4E-2</v>
      </c>
      <c r="C24">
        <f ca="1"/>
        <v>-0.16721067939658069</v>
      </c>
      <c r="D24">
        <f ca="1"/>
        <v>1</v>
      </c>
      <c r="E24" s="11">
        <f ca="1"/>
        <v>96.68401174959304</v>
      </c>
      <c r="F24" s="10">
        <f ca="1"/>
        <v>0</v>
      </c>
      <c r="G24" s="7">
        <f ca="1"/>
        <v>0</v>
      </c>
      <c r="H24" s="10">
        <f ca="1"/>
        <v>103.30928722715886</v>
      </c>
      <c r="I24" s="7">
        <f ca="1"/>
        <v>-1</v>
      </c>
      <c r="J24" s="7">
        <f ca="1"/>
        <v>6.6252754775658218</v>
      </c>
      <c r="K24">
        <f ca="1"/>
        <v>0</v>
      </c>
      <c r="L24">
        <f ca="1"/>
        <v>3.31598825040696</v>
      </c>
    </row>
    <row r="25" spans="2:17" x14ac:dyDescent="0.3">
      <c r="B25">
        <v>1.4999999999999999E-2</v>
      </c>
      <c r="C25">
        <f ca="1"/>
        <v>-0.13317926752468195</v>
      </c>
      <c r="D25">
        <f ca="1"/>
        <v>1</v>
      </c>
      <c r="E25" s="11">
        <f ca="1"/>
        <v>97.342368123903427</v>
      </c>
      <c r="F25" s="10">
        <f ca="1"/>
        <v>0</v>
      </c>
      <c r="G25" s="7">
        <f ca="1"/>
        <v>0</v>
      </c>
      <c r="H25" s="10">
        <f ca="1"/>
        <v>103.30928722715886</v>
      </c>
      <c r="I25" s="7">
        <f ca="1"/>
        <v>-1</v>
      </c>
      <c r="J25" s="7">
        <f ca="1"/>
        <v>5.9669191032554352</v>
      </c>
      <c r="K25">
        <f ca="1"/>
        <v>0</v>
      </c>
      <c r="L25">
        <f ca="1"/>
        <v>2.6576318760965734</v>
      </c>
    </row>
    <row r="26" spans="2:17" x14ac:dyDescent="0.3">
      <c r="B26">
        <v>1.6E-2</v>
      </c>
      <c r="C26">
        <f ca="1"/>
        <v>-0.11270935322382017</v>
      </c>
      <c r="D26">
        <f ca="1"/>
        <v>1</v>
      </c>
      <c r="E26" s="11">
        <f ca="1"/>
        <v>97.739748173343287</v>
      </c>
      <c r="F26" s="10">
        <f ca="1"/>
        <v>0</v>
      </c>
      <c r="G26" s="7">
        <f ca="1"/>
        <v>0</v>
      </c>
      <c r="H26" s="10">
        <f ca="1"/>
        <v>103.30928722715886</v>
      </c>
      <c r="I26" s="7">
        <f ca="1"/>
        <v>-1</v>
      </c>
      <c r="J26" s="7">
        <f ca="1"/>
        <v>5.5695390538155749</v>
      </c>
      <c r="K26">
        <f ca="1"/>
        <v>0</v>
      </c>
      <c r="L26">
        <f ca="1"/>
        <v>2.2602518266567131</v>
      </c>
    </row>
    <row r="27" spans="2:17" x14ac:dyDescent="0.3">
      <c r="B27">
        <v>1.7000000000000001E-2</v>
      </c>
      <c r="C27">
        <f ca="1"/>
        <v>-7.2678143801880063E-2</v>
      </c>
      <c r="D27">
        <f ca="1"/>
        <v>1</v>
      </c>
      <c r="E27" s="11">
        <f ca="1"/>
        <v>98.52344668154322</v>
      </c>
      <c r="F27" s="10">
        <f ca="1"/>
        <v>0</v>
      </c>
      <c r="G27" s="7">
        <f ca="1"/>
        <v>0</v>
      </c>
      <c r="H27" s="10">
        <f ca="1"/>
        <v>103.30928722715886</v>
      </c>
      <c r="I27" s="7">
        <f ca="1"/>
        <v>-1</v>
      </c>
      <c r="J27" s="7">
        <f ca="1"/>
        <v>4.7858405456156419</v>
      </c>
      <c r="K27">
        <f ca="1"/>
        <v>0</v>
      </c>
      <c r="L27">
        <f ca="1"/>
        <v>1.4765533184567801</v>
      </c>
    </row>
    <row r="28" spans="2:17" x14ac:dyDescent="0.3">
      <c r="B28">
        <v>1.8000000000000002E-2</v>
      </c>
      <c r="C28">
        <f ca="1"/>
        <v>-6.175698944338015E-2</v>
      </c>
      <c r="D28">
        <f ca="1"/>
        <v>1</v>
      </c>
      <c r="E28" s="11">
        <f ca="1"/>
        <v>98.736905069736423</v>
      </c>
      <c r="F28" s="10">
        <f ca="1"/>
        <v>0</v>
      </c>
      <c r="G28" s="7">
        <f ca="1"/>
        <v>0</v>
      </c>
      <c r="H28" s="10">
        <f ca="1"/>
        <v>103.30928722715886</v>
      </c>
      <c r="I28" s="7">
        <f ca="1"/>
        <v>-1</v>
      </c>
      <c r="J28" s="7">
        <f ca="1"/>
        <v>4.5723821574224388</v>
      </c>
      <c r="K28">
        <f ca="1"/>
        <v>0</v>
      </c>
      <c r="L28">
        <f ca="1"/>
        <v>1.263094930263577</v>
      </c>
    </row>
    <row r="29" spans="2:17" x14ac:dyDescent="0.3">
      <c r="B29">
        <v>1.9E-2</v>
      </c>
      <c r="C29">
        <f ca="1"/>
        <v>-3.8815542006170919E-2</v>
      </c>
      <c r="D29">
        <f ca="1"/>
        <v>1</v>
      </c>
      <c r="E29" s="11">
        <f ca="1"/>
        <v>99.18899568936844</v>
      </c>
      <c r="F29" s="10">
        <f ca="1"/>
        <v>0</v>
      </c>
      <c r="G29" s="7">
        <f ca="1"/>
        <v>0</v>
      </c>
      <c r="H29" s="10">
        <f ca="1"/>
        <v>103.30928722715886</v>
      </c>
      <c r="I29" s="7">
        <f ca="1"/>
        <v>-1</v>
      </c>
      <c r="J29" s="7">
        <f ca="1"/>
        <v>4.1202915377904219</v>
      </c>
      <c r="K29">
        <f ca="1"/>
        <v>0</v>
      </c>
      <c r="L29">
        <f ca="1"/>
        <v>0.81100431063156009</v>
      </c>
    </row>
    <row r="30" spans="2:17" x14ac:dyDescent="0.3">
      <c r="B30">
        <v>0.02</v>
      </c>
      <c r="C30">
        <f ca="1"/>
        <v>-1.5279040953465928E-2</v>
      </c>
      <c r="D30">
        <f ca="1"/>
        <v>1</v>
      </c>
      <c r="E30" s="11">
        <f ca="1"/>
        <v>99.655015624180919</v>
      </c>
      <c r="F30" s="10">
        <f ca="1"/>
        <v>0</v>
      </c>
      <c r="G30" s="7">
        <f ca="1"/>
        <v>0</v>
      </c>
      <c r="H30" s="10">
        <f ca="1"/>
        <v>103.30928722715886</v>
      </c>
      <c r="I30" s="7">
        <f ca="1"/>
        <v>-1</v>
      </c>
      <c r="J30" s="7">
        <f ca="1"/>
        <v>3.6542716029779427</v>
      </c>
      <c r="K30">
        <f ca="1"/>
        <v>0</v>
      </c>
      <c r="L30">
        <f ca="1"/>
        <v>0.34498437581908092</v>
      </c>
    </row>
    <row r="31" spans="2:17" x14ac:dyDescent="0.3">
      <c r="B31">
        <v>2.1000000000000001E-2</v>
      </c>
      <c r="C31">
        <f ca="1"/>
        <v>1.9921564324804162E-2</v>
      </c>
      <c r="D31">
        <f ca="1"/>
        <v>1</v>
      </c>
      <c r="E31" s="11">
        <f ca="1"/>
        <v>100.35706725818225</v>
      </c>
      <c r="F31" s="10">
        <f ca="1"/>
        <v>-100.35706725818225</v>
      </c>
      <c r="G31" s="7">
        <f ca="1"/>
        <v>1</v>
      </c>
      <c r="H31" s="10">
        <f ca="1"/>
        <v>2.9522199689766069</v>
      </c>
      <c r="I31" s="7">
        <f ca="1"/>
        <v>0</v>
      </c>
      <c r="J31" s="7">
        <f ca="1"/>
        <v>2.9522199689766069</v>
      </c>
      <c r="K31">
        <f ca="1"/>
        <v>0</v>
      </c>
      <c r="L31">
        <f ca="1"/>
        <v>0</v>
      </c>
    </row>
    <row r="32" spans="2:17" x14ac:dyDescent="0.3">
      <c r="B32">
        <v>2.1999999999999999E-2</v>
      </c>
      <c r="C32">
        <f ca="1"/>
        <v>-1.732471473076817E-2</v>
      </c>
      <c r="D32">
        <f ca="1"/>
        <v>1</v>
      </c>
      <c r="E32" s="11">
        <f ca="1"/>
        <v>99.610267142909464</v>
      </c>
      <c r="F32" s="10">
        <f ca="1"/>
        <v>99.610267142909464</v>
      </c>
      <c r="G32" s="7">
        <f ca="1"/>
        <v>-1</v>
      </c>
      <c r="H32" s="10">
        <f ca="1"/>
        <v>102.56248711188607</v>
      </c>
      <c r="I32" s="7">
        <f ca="1"/>
        <v>-1</v>
      </c>
      <c r="J32" s="7">
        <f ca="1"/>
        <v>2.9522199689766069</v>
      </c>
      <c r="K32">
        <f ca="1"/>
        <v>0</v>
      </c>
      <c r="L32">
        <f ca="1"/>
        <v>0.38973285709053584</v>
      </c>
    </row>
    <row r="33" spans="2:12" x14ac:dyDescent="0.3">
      <c r="B33">
        <v>2.3E-2</v>
      </c>
      <c r="C33">
        <f ca="1"/>
        <v>-3.350027664385137E-2</v>
      </c>
      <c r="D33">
        <f ca="1"/>
        <v>1</v>
      </c>
      <c r="E33" s="11">
        <f ca="1"/>
        <v>99.286551679837117</v>
      </c>
      <c r="F33" s="10">
        <f ca="1"/>
        <v>0</v>
      </c>
      <c r="G33" s="7">
        <f ca="1"/>
        <v>0</v>
      </c>
      <c r="H33" s="10">
        <f ca="1"/>
        <v>102.56248711188607</v>
      </c>
      <c r="I33" s="7">
        <f ca="1"/>
        <v>-1</v>
      </c>
      <c r="J33" s="7">
        <f ca="1"/>
        <v>3.2759354320489535</v>
      </c>
      <c r="K33">
        <f ca="1"/>
        <v>0</v>
      </c>
      <c r="L33">
        <f ca="1"/>
        <v>0.71344832016288251</v>
      </c>
    </row>
    <row r="34" spans="2:12" x14ac:dyDescent="0.3">
      <c r="B34">
        <v>2.4E-2</v>
      </c>
      <c r="C34">
        <f ca="1"/>
        <v>-3.2491286619807207E-3</v>
      </c>
      <c r="D34">
        <f ca="1"/>
        <v>1</v>
      </c>
      <c r="E34" s="11">
        <f ca="1"/>
        <v>99.887081228039293</v>
      </c>
      <c r="F34" s="10">
        <f ca="1"/>
        <v>0</v>
      </c>
      <c r="G34" s="7">
        <f ca="1"/>
        <v>0</v>
      </c>
      <c r="H34" s="10">
        <f ca="1"/>
        <v>102.56248711188607</v>
      </c>
      <c r="I34" s="7">
        <f ca="1"/>
        <v>-1</v>
      </c>
      <c r="J34" s="7">
        <f ca="1"/>
        <v>2.6754058838467785</v>
      </c>
      <c r="K34">
        <f ca="1"/>
        <v>0</v>
      </c>
      <c r="L34">
        <f ca="1"/>
        <v>0.11291877196070743</v>
      </c>
    </row>
    <row r="35" spans="2:12" x14ac:dyDescent="0.3">
      <c r="B35">
        <v>2.5000000000000001E-2</v>
      </c>
      <c r="C35">
        <f ca="1"/>
        <v>-6.1034898233716592E-2</v>
      </c>
      <c r="D35">
        <f ca="1"/>
        <v>1</v>
      </c>
      <c r="E35" s="11">
        <f ca="1"/>
        <v>98.737341314234428</v>
      </c>
      <c r="F35" s="10">
        <f ca="1"/>
        <v>0</v>
      </c>
      <c r="G35" s="7">
        <f ca="1"/>
        <v>0</v>
      </c>
      <c r="H35" s="10">
        <f ca="1"/>
        <v>102.56248711188607</v>
      </c>
      <c r="I35" s="7">
        <f ca="1"/>
        <v>-1</v>
      </c>
      <c r="J35" s="7">
        <f ca="1"/>
        <v>3.8251457976516434</v>
      </c>
      <c r="K35">
        <f ca="1"/>
        <v>0</v>
      </c>
      <c r="L35">
        <f ca="1"/>
        <v>1.2626586857655724</v>
      </c>
    </row>
    <row r="36" spans="2:12" x14ac:dyDescent="0.3">
      <c r="B36">
        <v>2.6000000000000002E-2</v>
      </c>
      <c r="C36">
        <f ca="1"/>
        <v>-6.5731236775723401E-2</v>
      </c>
      <c r="D36">
        <f ca="1"/>
        <v>1</v>
      </c>
      <c r="E36" s="11">
        <f ca="1"/>
        <v>98.642671185356647</v>
      </c>
      <c r="F36" s="10">
        <f ca="1"/>
        <v>0</v>
      </c>
      <c r="G36" s="7">
        <f ca="1"/>
        <v>0</v>
      </c>
      <c r="H36" s="10">
        <f ca="1"/>
        <v>102.56248711188607</v>
      </c>
      <c r="I36" s="7">
        <f ca="1"/>
        <v>-1</v>
      </c>
      <c r="J36" s="7">
        <f ca="1"/>
        <v>3.9198159265294237</v>
      </c>
      <c r="K36">
        <f ca="1"/>
        <v>0</v>
      </c>
      <c r="L36">
        <f ca="1"/>
        <v>1.3573288146433526</v>
      </c>
    </row>
    <row r="37" spans="2:12" x14ac:dyDescent="0.3">
      <c r="B37">
        <v>2.7E-2</v>
      </c>
      <c r="C37">
        <f ca="1"/>
        <v>-0.11643676981362758</v>
      </c>
      <c r="D37">
        <f ca="1"/>
        <v>1</v>
      </c>
      <c r="E37" s="11">
        <f ca="1"/>
        <v>97.645427616768927</v>
      </c>
      <c r="F37" s="10">
        <f ca="1"/>
        <v>0</v>
      </c>
      <c r="G37" s="7">
        <f ca="1"/>
        <v>0</v>
      </c>
      <c r="H37" s="10">
        <f ca="1"/>
        <v>102.56248711188607</v>
      </c>
      <c r="I37" s="7">
        <f ca="1"/>
        <v>-1</v>
      </c>
      <c r="J37" s="7">
        <f ca="1"/>
        <v>4.9170594951171438</v>
      </c>
      <c r="K37">
        <f ca="1"/>
        <v>0</v>
      </c>
      <c r="L37">
        <f ca="1"/>
        <v>2.3545723832310728</v>
      </c>
    </row>
    <row r="38" spans="2:12" x14ac:dyDescent="0.3">
      <c r="B38">
        <v>2.8000000000000001E-2</v>
      </c>
      <c r="C38">
        <f ca="1"/>
        <v>-0.16633204495882586</v>
      </c>
      <c r="D38">
        <f ca="1"/>
        <v>1</v>
      </c>
      <c r="E38" s="11">
        <f ca="1"/>
        <v>96.673930732362507</v>
      </c>
      <c r="F38" s="10">
        <f ca="1"/>
        <v>0</v>
      </c>
      <c r="G38" s="7">
        <f ca="1"/>
        <v>0</v>
      </c>
      <c r="H38" s="10">
        <f ca="1"/>
        <v>102.56248711188607</v>
      </c>
      <c r="I38" s="7">
        <f ca="1"/>
        <v>-1</v>
      </c>
      <c r="J38" s="7">
        <f ca="1"/>
        <v>5.888556379523564</v>
      </c>
      <c r="K38">
        <f ca="1"/>
        <v>0</v>
      </c>
      <c r="L38">
        <f ca="1"/>
        <v>3.326069267637493</v>
      </c>
    </row>
    <row r="39" spans="2:12" x14ac:dyDescent="0.3">
      <c r="B39">
        <v>2.9000000000000001E-2</v>
      </c>
      <c r="C39">
        <f ca="1"/>
        <v>-0.17258525071153516</v>
      </c>
      <c r="D39">
        <f ca="1"/>
        <v>1</v>
      </c>
      <c r="E39" s="11">
        <f ca="1"/>
        <v>96.551170866174758</v>
      </c>
      <c r="F39" s="10">
        <f ca="1"/>
        <v>0</v>
      </c>
      <c r="G39" s="7">
        <f ca="1"/>
        <v>0</v>
      </c>
      <c r="H39" s="10">
        <f ca="1"/>
        <v>102.56248711188607</v>
      </c>
      <c r="I39" s="7">
        <f ca="1"/>
        <v>-1</v>
      </c>
      <c r="J39" s="7">
        <f ca="1"/>
        <v>6.0113162457113134</v>
      </c>
      <c r="K39">
        <f ca="1"/>
        <v>0</v>
      </c>
      <c r="L39">
        <f ca="1"/>
        <v>3.4488291338252424</v>
      </c>
    </row>
    <row r="40" spans="2:12" x14ac:dyDescent="0.3">
      <c r="B40">
        <v>0.03</v>
      </c>
      <c r="C40">
        <f ca="1"/>
        <v>-0.19788558751986182</v>
      </c>
      <c r="D40">
        <f ca="1"/>
        <v>1</v>
      </c>
      <c r="E40" s="11">
        <f ca="1"/>
        <v>96.061928159440342</v>
      </c>
      <c r="F40" s="10">
        <f ca="1"/>
        <v>0</v>
      </c>
      <c r="G40" s="7">
        <f ca="1"/>
        <v>0</v>
      </c>
      <c r="H40" s="10">
        <f ca="1"/>
        <v>102.56248711188607</v>
      </c>
      <c r="I40" s="7">
        <f ca="1"/>
        <v>-1</v>
      </c>
      <c r="J40" s="7">
        <f ca="1"/>
        <v>6.5005589524457292</v>
      </c>
      <c r="K40">
        <f ca="1"/>
        <v>0</v>
      </c>
      <c r="L40">
        <f ca="1"/>
        <v>3.9380718405596582</v>
      </c>
    </row>
    <row r="41" spans="2:12" x14ac:dyDescent="0.3">
      <c r="B41">
        <v>3.1E-2</v>
      </c>
      <c r="C41">
        <f ca="1"/>
        <v>-0.17867980690074975</v>
      </c>
      <c r="D41">
        <f ca="1"/>
        <v>1</v>
      </c>
      <c r="E41" s="11">
        <f ca="1"/>
        <v>96.429697989972013</v>
      </c>
      <c r="F41" s="10">
        <f ca="1"/>
        <v>0</v>
      </c>
      <c r="G41" s="7">
        <f ca="1"/>
        <v>0</v>
      </c>
      <c r="H41" s="10">
        <f ca="1"/>
        <v>102.56248711188607</v>
      </c>
      <c r="I41" s="7">
        <f ca="1"/>
        <v>-1</v>
      </c>
      <c r="J41" s="7">
        <f ca="1"/>
        <v>6.1327891219140582</v>
      </c>
      <c r="K41">
        <f ca="1"/>
        <v>0</v>
      </c>
      <c r="L41">
        <f ca="1"/>
        <v>3.5703020100279872</v>
      </c>
    </row>
    <row r="42" spans="2:12" x14ac:dyDescent="0.3">
      <c r="B42">
        <v>3.2000000000000001E-2</v>
      </c>
      <c r="C42">
        <f ca="1"/>
        <v>-0.16691962340522157</v>
      </c>
      <c r="D42">
        <f ca="1"/>
        <v>1</v>
      </c>
      <c r="E42" s="11">
        <f ca="1"/>
        <v>96.65483799991776</v>
      </c>
      <c r="F42" s="10">
        <f ca="1"/>
        <v>0</v>
      </c>
      <c r="G42" s="7">
        <f ca="1"/>
        <v>0</v>
      </c>
      <c r="H42" s="10">
        <f ca="1"/>
        <v>102.56248711188607</v>
      </c>
      <c r="I42" s="7">
        <f ca="1"/>
        <v>-1</v>
      </c>
      <c r="J42" s="7">
        <f ca="1"/>
        <v>5.9076491119683112</v>
      </c>
      <c r="K42">
        <f ca="1"/>
        <v>0</v>
      </c>
      <c r="L42">
        <f ca="1"/>
        <v>3.3451620000822402</v>
      </c>
    </row>
    <row r="43" spans="2:12" x14ac:dyDescent="0.3">
      <c r="B43">
        <v>3.3000000000000002E-2</v>
      </c>
      <c r="C43">
        <f ca="1"/>
        <v>-0.11305961450280072</v>
      </c>
      <c r="D43">
        <f ca="1"/>
        <v>1</v>
      </c>
      <c r="E43" s="11">
        <f ca="1"/>
        <v>97.699677985120871</v>
      </c>
      <c r="F43" s="10">
        <f ca="1"/>
        <v>0</v>
      </c>
      <c r="G43" s="7">
        <f ca="1"/>
        <v>0</v>
      </c>
      <c r="H43" s="10">
        <f ca="1"/>
        <v>102.56248711188607</v>
      </c>
      <c r="I43" s="7">
        <f ca="1"/>
        <v>-1</v>
      </c>
      <c r="J43" s="7">
        <f ca="1"/>
        <v>4.8628091267651996</v>
      </c>
      <c r="K43">
        <f ca="1"/>
        <v>0</v>
      </c>
      <c r="L43">
        <f ca="1"/>
        <v>2.3003220148791286</v>
      </c>
    </row>
    <row r="44" spans="2:12" x14ac:dyDescent="0.3">
      <c r="B44">
        <v>3.4000000000000002E-2</v>
      </c>
      <c r="C44">
        <f ca="1"/>
        <v>-0.11514970052231523</v>
      </c>
      <c r="D44">
        <f ca="1"/>
        <v>1</v>
      </c>
      <c r="E44" s="11">
        <f ca="1"/>
        <v>97.656893216264081</v>
      </c>
      <c r="F44" s="10">
        <f ca="1"/>
        <v>0</v>
      </c>
      <c r="G44" s="7">
        <f ca="1"/>
        <v>0</v>
      </c>
      <c r="H44" s="10">
        <f ca="1"/>
        <v>102.56248711188607</v>
      </c>
      <c r="I44" s="7">
        <f ca="1"/>
        <v>-1</v>
      </c>
      <c r="J44" s="7">
        <f ca="1"/>
        <v>4.9055938956219904</v>
      </c>
      <c r="K44">
        <f ca="1"/>
        <v>0</v>
      </c>
      <c r="L44">
        <f ca="1"/>
        <v>2.3431067837359194</v>
      </c>
    </row>
    <row r="45" spans="2:12" x14ac:dyDescent="0.3">
      <c r="B45">
        <v>3.5000000000000003E-2</v>
      </c>
      <c r="C45">
        <f ca="1"/>
        <v>-0.11935060286838664</v>
      </c>
      <c r="D45">
        <f ca="1"/>
        <v>1</v>
      </c>
      <c r="E45" s="11">
        <f ca="1"/>
        <v>97.572926782355864</v>
      </c>
      <c r="F45" s="10">
        <f ca="1"/>
        <v>0</v>
      </c>
      <c r="G45" s="7">
        <f ca="1"/>
        <v>0</v>
      </c>
      <c r="H45" s="10">
        <f ca="1"/>
        <v>102.56248711188607</v>
      </c>
      <c r="I45" s="7">
        <f ca="1"/>
        <v>-1</v>
      </c>
      <c r="J45" s="7">
        <f ca="1"/>
        <v>4.9895603295302067</v>
      </c>
      <c r="K45">
        <f ca="1"/>
        <v>0</v>
      </c>
      <c r="L45">
        <f ca="1"/>
        <v>2.4270732176441356</v>
      </c>
    </row>
    <row r="46" spans="2:12" x14ac:dyDescent="0.3">
      <c r="B46">
        <v>3.6000000000000004E-2</v>
      </c>
      <c r="C46">
        <f ca="1"/>
        <v>-9.2372203883805834E-2</v>
      </c>
      <c r="D46">
        <f ca="1"/>
        <v>1</v>
      </c>
      <c r="E46" s="11">
        <f ca="1"/>
        <v>98.098859951209732</v>
      </c>
      <c r="F46" s="10">
        <f ca="1"/>
        <v>0</v>
      </c>
      <c r="G46" s="7">
        <f ca="1"/>
        <v>0</v>
      </c>
      <c r="H46" s="10">
        <f ca="1"/>
        <v>102.56248711188607</v>
      </c>
      <c r="I46" s="7">
        <f ca="1"/>
        <v>-1</v>
      </c>
      <c r="J46" s="7">
        <f ca="1"/>
        <v>4.4636271606763387</v>
      </c>
      <c r="K46">
        <f ca="1"/>
        <v>0</v>
      </c>
      <c r="L46">
        <f ca="1"/>
        <v>1.9011400487902677</v>
      </c>
    </row>
    <row r="47" spans="2:12" x14ac:dyDescent="0.3">
      <c r="B47">
        <v>3.6999999999999998E-2</v>
      </c>
      <c r="C47">
        <f ca="1"/>
        <v>-9.6653308445464228E-2</v>
      </c>
      <c r="D47">
        <f ca="1"/>
        <v>1</v>
      </c>
      <c r="E47" s="11">
        <f ca="1"/>
        <v>98.012941325989772</v>
      </c>
      <c r="F47" s="10">
        <f ca="1"/>
        <v>0</v>
      </c>
      <c r="G47" s="7">
        <f ca="1"/>
        <v>0</v>
      </c>
      <c r="H47" s="10">
        <f ca="1"/>
        <v>102.56248711188607</v>
      </c>
      <c r="I47" s="7">
        <f ca="1"/>
        <v>-1</v>
      </c>
      <c r="J47" s="7">
        <f ca="1"/>
        <v>4.5495457858962993</v>
      </c>
      <c r="K47">
        <f ca="1"/>
        <v>0</v>
      </c>
      <c r="L47">
        <f ca="1"/>
        <v>1.9870586740102283</v>
      </c>
    </row>
    <row r="48" spans="2:12" x14ac:dyDescent="0.3">
      <c r="B48">
        <v>3.7999999999999999E-2</v>
      </c>
      <c r="C48">
        <f ca="1"/>
        <v>-5.262068754246943E-2</v>
      </c>
      <c r="D48">
        <f ca="1"/>
        <v>1</v>
      </c>
      <c r="E48" s="11">
        <f ca="1"/>
        <v>98.87792895736834</v>
      </c>
      <c r="F48" s="10">
        <f ca="1"/>
        <v>0</v>
      </c>
      <c r="G48" s="7">
        <f ca="1"/>
        <v>0</v>
      </c>
      <c r="H48" s="10">
        <f ca="1"/>
        <v>102.56248711188607</v>
      </c>
      <c r="I48" s="7">
        <f ca="1"/>
        <v>-1</v>
      </c>
      <c r="J48" s="7">
        <f ca="1"/>
        <v>3.6845581545177311</v>
      </c>
      <c r="K48">
        <f ca="1"/>
        <v>0</v>
      </c>
      <c r="L48">
        <f ca="1"/>
        <v>1.12207104263166</v>
      </c>
    </row>
    <row r="49" spans="2:12" x14ac:dyDescent="0.3">
      <c r="B49">
        <v>3.9E-2</v>
      </c>
      <c r="C49">
        <f ca="1"/>
        <v>-6.1328049400702134E-2</v>
      </c>
      <c r="D49">
        <f ca="1"/>
        <v>1</v>
      </c>
      <c r="E49" s="11">
        <f ca="1"/>
        <v>98.703911525788158</v>
      </c>
      <c r="F49" s="10">
        <f ca="1"/>
        <v>0</v>
      </c>
      <c r="G49" s="7">
        <f ca="1"/>
        <v>0</v>
      </c>
      <c r="H49" s="10">
        <f ca="1"/>
        <v>102.56248711188607</v>
      </c>
      <c r="I49" s="7">
        <f ca="1"/>
        <v>-1</v>
      </c>
      <c r="J49" s="7">
        <f ca="1"/>
        <v>3.8585755860979134</v>
      </c>
      <c r="K49">
        <f ca="1"/>
        <v>0</v>
      </c>
      <c r="L49">
        <f ca="1"/>
        <v>1.2960884742118424</v>
      </c>
    </row>
    <row r="50" spans="2:12" x14ac:dyDescent="0.3">
      <c r="B50">
        <v>0.04</v>
      </c>
      <c r="C50">
        <f ca="1"/>
        <v>-8.374660169997028E-2</v>
      </c>
      <c r="D50">
        <f ca="1"/>
        <v>1</v>
      </c>
      <c r="E50" s="11">
        <f ca="1"/>
        <v>98.260377211784331</v>
      </c>
      <c r="F50" s="10">
        <f ca="1"/>
        <v>0</v>
      </c>
      <c r="G50" s="7">
        <f ca="1"/>
        <v>0</v>
      </c>
      <c r="H50" s="10">
        <f ca="1"/>
        <v>102.56248711188607</v>
      </c>
      <c r="I50" s="7">
        <f ca="1"/>
        <v>-1</v>
      </c>
      <c r="J50" s="7">
        <f ca="1"/>
        <v>4.3021099001017404</v>
      </c>
      <c r="K50">
        <f ca="1"/>
        <v>0</v>
      </c>
      <c r="L50">
        <f ca="1"/>
        <v>1.7396227882156694</v>
      </c>
    </row>
    <row r="51" spans="2:12" x14ac:dyDescent="0.3">
      <c r="B51">
        <v>4.1000000000000002E-2</v>
      </c>
      <c r="C51">
        <f ca="1"/>
        <v>-9.3057063711029231E-2</v>
      </c>
      <c r="D51">
        <f ca="1"/>
        <v>1</v>
      </c>
      <c r="E51" s="11">
        <f ca="1"/>
        <v>98.075616025747323</v>
      </c>
      <c r="F51" s="10">
        <f ca="1"/>
        <v>0</v>
      </c>
      <c r="G51" s="7">
        <f ca="1"/>
        <v>0</v>
      </c>
      <c r="H51" s="10">
        <f ca="1"/>
        <v>102.56248711188607</v>
      </c>
      <c r="I51" s="7">
        <f ca="1"/>
        <v>-1</v>
      </c>
      <c r="J51" s="7">
        <f ca="1"/>
        <v>4.4868710861387484</v>
      </c>
      <c r="K51">
        <f ca="1"/>
        <v>0</v>
      </c>
      <c r="L51">
        <f ca="1"/>
        <v>1.9243839742526774</v>
      </c>
    </row>
    <row r="52" spans="2:12" x14ac:dyDescent="0.3">
      <c r="B52">
        <v>4.2000000000000003E-2</v>
      </c>
      <c r="C52">
        <f ca="1"/>
        <v>-8.3516036162897406E-2</v>
      </c>
      <c r="D52">
        <f ca="1"/>
        <v>1</v>
      </c>
      <c r="E52" s="11">
        <f ca="1"/>
        <v>98.26097788986084</v>
      </c>
      <c r="F52" s="10">
        <f ca="1"/>
        <v>0</v>
      </c>
      <c r="G52" s="7">
        <f ca="1"/>
        <v>0</v>
      </c>
      <c r="H52" s="10">
        <f ca="1"/>
        <v>102.56248711188607</v>
      </c>
      <c r="I52" s="7">
        <f ca="1"/>
        <v>-1</v>
      </c>
      <c r="J52" s="7">
        <f ca="1"/>
        <v>4.3015092220252313</v>
      </c>
      <c r="K52">
        <f ca="1"/>
        <v>0</v>
      </c>
      <c r="L52">
        <f ca="1"/>
        <v>1.7390221101391603</v>
      </c>
    </row>
    <row r="53" spans="2:12" x14ac:dyDescent="0.3">
      <c r="B53">
        <v>4.3000000000000003E-2</v>
      </c>
      <c r="C53">
        <f ca="1"/>
        <v>-0.11261717305923276</v>
      </c>
      <c r="D53">
        <f ca="1"/>
        <v>1</v>
      </c>
      <c r="E53" s="11">
        <f ca="1"/>
        <v>97.688783934255028</v>
      </c>
      <c r="F53" s="10">
        <f ca="1"/>
        <v>0</v>
      </c>
      <c r="G53" s="7">
        <f ca="1"/>
        <v>0</v>
      </c>
      <c r="H53" s="10">
        <f ca="1"/>
        <v>102.56248711188607</v>
      </c>
      <c r="I53" s="7">
        <f ca="1"/>
        <v>-1</v>
      </c>
      <c r="J53" s="7">
        <f ca="1"/>
        <v>4.8737031776310431</v>
      </c>
      <c r="K53">
        <f ca="1"/>
        <v>0</v>
      </c>
      <c r="L53">
        <f ca="1"/>
        <v>2.3112160657449721</v>
      </c>
    </row>
    <row r="54" spans="2:12" x14ac:dyDescent="0.3">
      <c r="B54">
        <v>4.3999999999999997E-2</v>
      </c>
      <c r="C54">
        <f ca="1"/>
        <v>-0.11974804078148535</v>
      </c>
      <c r="D54">
        <f ca="1"/>
        <v>1</v>
      </c>
      <c r="E54" s="11">
        <f ca="1"/>
        <v>97.547611104150093</v>
      </c>
      <c r="F54" s="10">
        <f ca="1"/>
        <v>0</v>
      </c>
      <c r="G54" s="7">
        <f ca="1"/>
        <v>0</v>
      </c>
      <c r="H54" s="10">
        <f ca="1"/>
        <v>102.56248711188607</v>
      </c>
      <c r="I54" s="7">
        <f ca="1"/>
        <v>-1</v>
      </c>
      <c r="J54" s="7">
        <f ca="1"/>
        <v>5.0148760077359782</v>
      </c>
      <c r="K54">
        <f ca="1"/>
        <v>0</v>
      </c>
      <c r="L54">
        <f ca="1"/>
        <v>2.4523888958499072</v>
      </c>
    </row>
    <row r="55" spans="2:12" x14ac:dyDescent="0.3">
      <c r="B55">
        <v>4.4999999999999998E-2</v>
      </c>
      <c r="C55">
        <f ca="1"/>
        <v>-6.1865619488475847E-2</v>
      </c>
      <c r="D55">
        <f ca="1"/>
        <v>1</v>
      </c>
      <c r="E55" s="11">
        <f ca="1"/>
        <v>98.681457556721767</v>
      </c>
      <c r="F55" s="10">
        <f ca="1"/>
        <v>0</v>
      </c>
      <c r="G55" s="7">
        <f ca="1"/>
        <v>0</v>
      </c>
      <c r="H55" s="10">
        <f ca="1"/>
        <v>102.56248711188607</v>
      </c>
      <c r="I55" s="7">
        <f ca="1"/>
        <v>-1</v>
      </c>
      <c r="J55" s="7">
        <f ca="1"/>
        <v>3.8810295551643037</v>
      </c>
      <c r="K55">
        <f ca="1"/>
        <v>0</v>
      </c>
      <c r="L55">
        <f ca="1"/>
        <v>1.3185424432782327</v>
      </c>
    </row>
    <row r="56" spans="2:12" x14ac:dyDescent="0.3">
      <c r="B56">
        <v>4.5999999999999999E-2</v>
      </c>
      <c r="C56">
        <f ca="1"/>
        <v>-3.0821561196452209E-2</v>
      </c>
      <c r="D56">
        <f ca="1"/>
        <v>1</v>
      </c>
      <c r="E56" s="11">
        <f ca="1"/>
        <v>99.294072234816582</v>
      </c>
      <c r="F56" s="10">
        <f ca="1"/>
        <v>0</v>
      </c>
      <c r="G56" s="7">
        <f ca="1"/>
        <v>0</v>
      </c>
      <c r="H56" s="10">
        <f ca="1"/>
        <v>102.56248711188607</v>
      </c>
      <c r="I56" s="7">
        <f ca="1"/>
        <v>-1</v>
      </c>
      <c r="J56" s="7">
        <f ca="1"/>
        <v>3.268414877069489</v>
      </c>
      <c r="K56">
        <f ca="1"/>
        <v>0</v>
      </c>
      <c r="L56">
        <f ca="1"/>
        <v>0.70592776518341793</v>
      </c>
    </row>
    <row r="57" spans="2:12" x14ac:dyDescent="0.3">
      <c r="B57">
        <v>4.7E-2</v>
      </c>
      <c r="C57">
        <f ca="1"/>
        <v>1.9327390812264495E-2</v>
      </c>
      <c r="D57">
        <f ca="1"/>
        <v>1</v>
      </c>
      <c r="E57" s="11">
        <f ca="1"/>
        <v>100.29297615496591</v>
      </c>
      <c r="F57" s="10">
        <f ca="1"/>
        <v>-100.29297615496591</v>
      </c>
      <c r="G57" s="7">
        <f ca="1"/>
        <v>1</v>
      </c>
      <c r="H57" s="10">
        <f ca="1"/>
        <v>2.2695109569201577</v>
      </c>
      <c r="I57" s="7">
        <f ca="1"/>
        <v>0</v>
      </c>
      <c r="J57" s="7">
        <f ca="1"/>
        <v>2.2695109569201577</v>
      </c>
      <c r="K57">
        <f ca="1"/>
        <v>0</v>
      </c>
      <c r="L57">
        <f ca="1"/>
        <v>0</v>
      </c>
    </row>
    <row r="58" spans="2:12" x14ac:dyDescent="0.3">
      <c r="B58">
        <v>4.8000000000000001E-2</v>
      </c>
      <c r="C58">
        <f ca="1"/>
        <v>4.4953564140124108E-2</v>
      </c>
      <c r="D58">
        <f ca="1"/>
        <v>1</v>
      </c>
      <c r="E58" s="11">
        <f ca="1"/>
        <v>100.80630454957911</v>
      </c>
      <c r="F58" s="10">
        <f ca="1"/>
        <v>0</v>
      </c>
      <c r="G58" s="7">
        <f ca="1"/>
        <v>0</v>
      </c>
      <c r="H58" s="10">
        <f ca="1"/>
        <v>2.2695109569201577</v>
      </c>
      <c r="I58" s="7">
        <f ca="1"/>
        <v>0</v>
      </c>
      <c r="J58" s="7">
        <f ca="1"/>
        <v>2.2695109569201577</v>
      </c>
      <c r="K58">
        <f ca="1"/>
        <v>0</v>
      </c>
      <c r="L58">
        <f ca="1"/>
        <v>0</v>
      </c>
    </row>
    <row r="59" spans="2:12" x14ac:dyDescent="0.3">
      <c r="B59">
        <v>4.9000000000000002E-2</v>
      </c>
      <c r="C59">
        <f ca="1"/>
        <v>2.2572671480143577E-2</v>
      </c>
      <c r="D59">
        <f ca="1"/>
        <v>1</v>
      </c>
      <c r="E59" s="11">
        <f ca="1"/>
        <v>100.35407881283311</v>
      </c>
      <c r="F59" s="10">
        <f ca="1"/>
        <v>0</v>
      </c>
      <c r="G59" s="7">
        <f ca="1"/>
        <v>0</v>
      </c>
      <c r="H59" s="10">
        <f ca="1"/>
        <v>2.2695109569201577</v>
      </c>
      <c r="I59" s="7">
        <f ca="1"/>
        <v>0</v>
      </c>
      <c r="J59" s="7">
        <f ca="1"/>
        <v>2.2695109569201577</v>
      </c>
      <c r="K59">
        <f ca="1"/>
        <v>0</v>
      </c>
      <c r="L59">
        <f ca="1"/>
        <v>0</v>
      </c>
    </row>
    <row r="60" spans="2:12" x14ac:dyDescent="0.3">
      <c r="B60">
        <v>0.05</v>
      </c>
      <c r="C60">
        <f ca="1"/>
        <v>2.9772472441642363E-2</v>
      </c>
      <c r="D60">
        <f ca="1"/>
        <v>1</v>
      </c>
      <c r="E60" s="11">
        <f ca="1"/>
        <v>100.4966788290953</v>
      </c>
      <c r="F60" s="10">
        <f ca="1"/>
        <v>0</v>
      </c>
      <c r="G60" s="7">
        <f ca="1"/>
        <v>0</v>
      </c>
      <c r="H60" s="10">
        <f ca="1"/>
        <v>2.2695109569201577</v>
      </c>
      <c r="I60" s="7">
        <f ca="1"/>
        <v>0</v>
      </c>
      <c r="J60" s="7">
        <f ca="1"/>
        <v>2.2695109569201577</v>
      </c>
      <c r="K60">
        <f ca="1"/>
        <v>0</v>
      </c>
      <c r="L60">
        <f ca="1"/>
        <v>0</v>
      </c>
    </row>
    <row r="61" spans="2:12" x14ac:dyDescent="0.3">
      <c r="B61">
        <v>5.1000000000000004E-2</v>
      </c>
      <c r="C61">
        <f ca="1"/>
        <v>-5.7938632748738908E-4</v>
      </c>
      <c r="D61">
        <f ca="1"/>
        <v>1</v>
      </c>
      <c r="E61" s="11">
        <f ca="1"/>
        <v>99.886476759889831</v>
      </c>
      <c r="F61" s="10">
        <f ca="1"/>
        <v>99.886476759889831</v>
      </c>
      <c r="G61" s="7">
        <f ca="1"/>
        <v>-1</v>
      </c>
      <c r="H61" s="10">
        <f ca="1"/>
        <v>102.15598771680999</v>
      </c>
      <c r="I61" s="7">
        <f ca="1"/>
        <v>-1</v>
      </c>
      <c r="J61" s="7">
        <f ca="1"/>
        <v>2.2695109569201577</v>
      </c>
      <c r="K61">
        <f ca="1"/>
        <v>0</v>
      </c>
      <c r="L61">
        <f ca="1"/>
        <v>0.1135232401101689</v>
      </c>
    </row>
    <row r="62" spans="2:12" x14ac:dyDescent="0.3">
      <c r="B62">
        <v>5.2000000000000005E-2</v>
      </c>
      <c r="C62">
        <f ca="1"/>
        <v>1.201613404554828E-2</v>
      </c>
      <c r="D62">
        <f ca="1"/>
        <v>1</v>
      </c>
      <c r="E62" s="11">
        <f ca="1"/>
        <v>100.1364156425154</v>
      </c>
      <c r="F62" s="10">
        <f ca="1"/>
        <v>-100.1364156425154</v>
      </c>
      <c r="G62" s="7">
        <f ca="1"/>
        <v>1</v>
      </c>
      <c r="H62" s="10">
        <f ca="1"/>
        <v>2.0195720742945866</v>
      </c>
      <c r="I62" s="7">
        <f ca="1"/>
        <v>0</v>
      </c>
      <c r="J62" s="7">
        <f ca="1"/>
        <v>2.0195720742945866</v>
      </c>
      <c r="K62">
        <f ca="1"/>
        <v>0</v>
      </c>
      <c r="L62">
        <f ca="1"/>
        <v>0</v>
      </c>
    </row>
    <row r="63" spans="2:12" x14ac:dyDescent="0.3">
      <c r="B63">
        <v>5.2999999999999999E-2</v>
      </c>
      <c r="C63">
        <f ca="1"/>
        <v>3.0542484217097616E-3</v>
      </c>
      <c r="D63">
        <f ca="1"/>
        <v>1</v>
      </c>
      <c r="E63" s="11">
        <f ca="1"/>
        <v>99.955095053724506</v>
      </c>
      <c r="F63" s="10">
        <f ca="1"/>
        <v>99.955095053724506</v>
      </c>
      <c r="G63" s="7">
        <f ca="1"/>
        <v>-1</v>
      </c>
      <c r="H63" s="10">
        <f ca="1"/>
        <v>101.97466712801909</v>
      </c>
      <c r="I63" s="7">
        <f ca="1"/>
        <v>-1</v>
      </c>
      <c r="J63" s="7">
        <f ca="1"/>
        <v>2.0195720742945866</v>
      </c>
      <c r="K63">
        <f ca="1"/>
        <v>0</v>
      </c>
      <c r="L63">
        <f ca="1"/>
        <v>4.490494627549424E-2</v>
      </c>
    </row>
    <row r="64" spans="2:12" x14ac:dyDescent="0.3">
      <c r="B64">
        <v>5.3999999999999999E-2</v>
      </c>
      <c r="C64">
        <f ca="1"/>
        <v>-3.0454748124543581E-2</v>
      </c>
      <c r="D64">
        <f ca="1"/>
        <v>1</v>
      </c>
      <c r="E64" s="11">
        <f ca="1"/>
        <v>99.285470028632474</v>
      </c>
      <c r="F64" s="10">
        <f ca="1"/>
        <v>0</v>
      </c>
      <c r="G64" s="7">
        <f ca="1"/>
        <v>0</v>
      </c>
      <c r="H64" s="10">
        <f ca="1"/>
        <v>101.97466712801909</v>
      </c>
      <c r="I64" s="7">
        <f ca="1"/>
        <v>-1</v>
      </c>
      <c r="J64" s="7">
        <f ca="1"/>
        <v>2.6891970993866181</v>
      </c>
      <c r="K64">
        <f ca="1"/>
        <v>0</v>
      </c>
      <c r="L64">
        <f ca="1"/>
        <v>0.71452997136752572</v>
      </c>
    </row>
    <row r="65" spans="2:12" x14ac:dyDescent="0.3">
      <c r="B65">
        <v>5.5E-2</v>
      </c>
      <c r="C65">
        <f ca="1"/>
        <v>-2.576946600344554E-2</v>
      </c>
      <c r="D65">
        <f ca="1"/>
        <v>1</v>
      </c>
      <c r="E65" s="11">
        <f ca="1"/>
        <v>99.376562168686036</v>
      </c>
      <c r="F65" s="10">
        <f ca="1"/>
        <v>0</v>
      </c>
      <c r="G65" s="7">
        <f ca="1"/>
        <v>0</v>
      </c>
      <c r="H65" s="10">
        <f ca="1"/>
        <v>101.97466712801909</v>
      </c>
      <c r="I65" s="7">
        <f ca="1"/>
        <v>-1</v>
      </c>
      <c r="J65" s="7">
        <f ca="1"/>
        <v>2.5981049593330567</v>
      </c>
      <c r="K65">
        <f ca="1"/>
        <v>0</v>
      </c>
      <c r="L65">
        <f ca="1"/>
        <v>0.62343783131396435</v>
      </c>
    </row>
    <row r="66" spans="2:12" x14ac:dyDescent="0.3">
      <c r="B66">
        <v>5.6000000000000001E-2</v>
      </c>
      <c r="C66">
        <f ca="1"/>
        <v>-2.5969130112274155E-2</v>
      </c>
      <c r="D66">
        <f ca="1"/>
        <v>1</v>
      </c>
      <c r="E66" s="11">
        <f ca="1"/>
        <v>99.370606429371804</v>
      </c>
      <c r="F66" s="10">
        <f ca="1"/>
        <v>0</v>
      </c>
      <c r="G66" s="7">
        <f ca="1"/>
        <v>0</v>
      </c>
      <c r="H66" s="10">
        <f ca="1"/>
        <v>101.97466712801909</v>
      </c>
      <c r="I66" s="7">
        <f ca="1"/>
        <v>-1</v>
      </c>
      <c r="J66" s="7">
        <f ca="1"/>
        <v>2.6040606986472881</v>
      </c>
      <c r="K66">
        <f ca="1"/>
        <v>0</v>
      </c>
      <c r="L66">
        <f ca="1"/>
        <v>0.62939357062819568</v>
      </c>
    </row>
    <row r="67" spans="2:12" x14ac:dyDescent="0.3">
      <c r="B67">
        <v>5.7000000000000002E-2</v>
      </c>
      <c r="C67">
        <f ca="1"/>
        <v>-9.6820378492748577E-2</v>
      </c>
      <c r="D67">
        <f ca="1"/>
        <v>1</v>
      </c>
      <c r="E67" s="11">
        <f ca="1"/>
        <v>97.97047034853415</v>
      </c>
      <c r="F67" s="10">
        <f ca="1"/>
        <v>0</v>
      </c>
      <c r="G67" s="7">
        <f ca="1"/>
        <v>0</v>
      </c>
      <c r="H67" s="10">
        <f ca="1"/>
        <v>101.97466712801909</v>
      </c>
      <c r="I67" s="7">
        <f ca="1"/>
        <v>-1</v>
      </c>
      <c r="J67" s="7">
        <f ca="1"/>
        <v>4.0041967794849427</v>
      </c>
      <c r="K67">
        <f ca="1"/>
        <v>0</v>
      </c>
      <c r="L67">
        <f ca="1"/>
        <v>2.0295296514658503</v>
      </c>
    </row>
    <row r="68" spans="2:12" x14ac:dyDescent="0.3">
      <c r="B68">
        <v>5.8000000000000003E-2</v>
      </c>
      <c r="C68">
        <f ca="1"/>
        <v>-0.10085300407221019</v>
      </c>
      <c r="D68">
        <f ca="1"/>
        <v>1</v>
      </c>
      <c r="E68" s="11">
        <f ca="1"/>
        <v>97.889528748915708</v>
      </c>
      <c r="F68" s="10">
        <f ca="1"/>
        <v>0</v>
      </c>
      <c r="G68" s="7">
        <f ca="1"/>
        <v>0</v>
      </c>
      <c r="H68" s="10">
        <f ca="1"/>
        <v>101.97466712801909</v>
      </c>
      <c r="I68" s="7">
        <f ca="1"/>
        <v>-1</v>
      </c>
      <c r="J68" s="7">
        <f ca="1"/>
        <v>4.085138379103384</v>
      </c>
      <c r="K68">
        <f ca="1"/>
        <v>0</v>
      </c>
      <c r="L68">
        <f ca="1"/>
        <v>2.1104712510842916</v>
      </c>
    </row>
    <row r="69" spans="2:12" x14ac:dyDescent="0.3">
      <c r="B69">
        <v>5.9000000000000004E-2</v>
      </c>
      <c r="C69">
        <f ca="1"/>
        <v>-0.10641194924154877</v>
      </c>
      <c r="D69">
        <f ca="1"/>
        <v>1</v>
      </c>
      <c r="E69" s="11">
        <f ca="1"/>
        <v>97.778801125721728</v>
      </c>
      <c r="F69" s="10">
        <f ca="1"/>
        <v>0</v>
      </c>
      <c r="G69" s="7">
        <f ca="1"/>
        <v>0</v>
      </c>
      <c r="H69" s="10">
        <f ca="1"/>
        <v>101.97466712801909</v>
      </c>
      <c r="I69" s="7">
        <f ca="1"/>
        <v>-1</v>
      </c>
      <c r="J69" s="7">
        <f ca="1"/>
        <v>4.1958660022973646</v>
      </c>
      <c r="K69">
        <f ca="1"/>
        <v>0</v>
      </c>
      <c r="L69">
        <f ca="1"/>
        <v>2.2211988742782722</v>
      </c>
    </row>
    <row r="70" spans="2:12" x14ac:dyDescent="0.3">
      <c r="B70">
        <v>0.06</v>
      </c>
      <c r="C70">
        <f ca="1"/>
        <v>-9.9276768341779009E-2</v>
      </c>
      <c r="D70">
        <f ca="1"/>
        <v>1</v>
      </c>
      <c r="E70" s="11">
        <f ca="1"/>
        <v>97.916476270779683</v>
      </c>
      <c r="F70" s="10">
        <f ca="1"/>
        <v>0</v>
      </c>
      <c r="G70" s="7">
        <f ca="1"/>
        <v>0</v>
      </c>
      <c r="H70" s="10">
        <f ca="1"/>
        <v>101.97466712801909</v>
      </c>
      <c r="I70" s="7">
        <f ca="1"/>
        <v>-1</v>
      </c>
      <c r="J70" s="7">
        <f ca="1"/>
        <v>4.0581908572394099</v>
      </c>
      <c r="K70">
        <f ca="1"/>
        <v>0</v>
      </c>
      <c r="L70">
        <f ca="1"/>
        <v>2.0835237292203175</v>
      </c>
    </row>
    <row r="71" spans="2:12" x14ac:dyDescent="0.3">
      <c r="B71">
        <v>6.0999999999999999E-2</v>
      </c>
      <c r="C71">
        <f ca="1"/>
        <v>-0.1116902906973636</v>
      </c>
      <c r="D71">
        <f ca="1"/>
        <v>1</v>
      </c>
      <c r="E71" s="11">
        <f ca="1"/>
        <v>97.671726663538664</v>
      </c>
      <c r="F71" s="10">
        <f ca="1"/>
        <v>0</v>
      </c>
      <c r="G71" s="7">
        <f ca="1"/>
        <v>0</v>
      </c>
      <c r="H71" s="10">
        <f ca="1"/>
        <v>101.97466712801909</v>
      </c>
      <c r="I71" s="7">
        <f ca="1"/>
        <v>-1</v>
      </c>
      <c r="J71" s="7">
        <f ca="1"/>
        <v>4.3029404644804288</v>
      </c>
      <c r="K71">
        <f ca="1"/>
        <v>0</v>
      </c>
      <c r="L71">
        <f ca="1"/>
        <v>2.3282733364613364</v>
      </c>
    </row>
    <row r="72" spans="2:12" x14ac:dyDescent="0.3">
      <c r="B72">
        <v>6.2E-2</v>
      </c>
      <c r="C72">
        <f ca="1"/>
        <v>-6.6141549504801833E-2</v>
      </c>
      <c r="D72">
        <f ca="1"/>
        <v>1</v>
      </c>
      <c r="E72" s="11">
        <f ca="1"/>
        <v>98.563585313527199</v>
      </c>
      <c r="F72" s="10">
        <f ca="1"/>
        <v>0</v>
      </c>
      <c r="G72" s="7">
        <f ca="1"/>
        <v>0</v>
      </c>
      <c r="H72" s="10">
        <f ca="1"/>
        <v>101.97466712801909</v>
      </c>
      <c r="I72" s="7">
        <f ca="1"/>
        <v>-1</v>
      </c>
      <c r="J72" s="7">
        <f ca="1"/>
        <v>3.4110818144918937</v>
      </c>
      <c r="K72">
        <f ca="1"/>
        <v>0</v>
      </c>
      <c r="L72">
        <f ca="1"/>
        <v>1.4364146864728013</v>
      </c>
    </row>
    <row r="73" spans="2:12" x14ac:dyDescent="0.3">
      <c r="B73">
        <v>6.3E-2</v>
      </c>
      <c r="C73">
        <f ca="1"/>
        <v>-9.3464203090787012E-2</v>
      </c>
      <c r="D73">
        <f ca="1"/>
        <v>1</v>
      </c>
      <c r="E73" s="11">
        <f ca="1"/>
        <v>98.024489996027299</v>
      </c>
      <c r="F73" s="10">
        <f ca="1"/>
        <v>0</v>
      </c>
      <c r="G73" s="7">
        <f ca="1"/>
        <v>0</v>
      </c>
      <c r="H73" s="10">
        <f ca="1"/>
        <v>101.97466712801909</v>
      </c>
      <c r="I73" s="7">
        <f ca="1"/>
        <v>-1</v>
      </c>
      <c r="J73" s="7">
        <f ca="1"/>
        <v>3.9501771319917935</v>
      </c>
      <c r="K73">
        <f ca="1"/>
        <v>0</v>
      </c>
      <c r="L73">
        <f ca="1"/>
        <v>1.9755100039727012</v>
      </c>
    </row>
    <row r="74" spans="2:12" x14ac:dyDescent="0.3">
      <c r="B74">
        <v>6.4000000000000001E-2</v>
      </c>
      <c r="C74">
        <f ca="1"/>
        <v>-0.10015943968846609</v>
      </c>
      <c r="D74">
        <f ca="1"/>
        <v>1</v>
      </c>
      <c r="E74" s="11">
        <f ca="1"/>
        <v>97.891360560741376</v>
      </c>
      <c r="F74" s="10">
        <f ca="1"/>
        <v>0</v>
      </c>
      <c r="G74" s="7">
        <f ca="1"/>
        <v>0</v>
      </c>
      <c r="H74" s="10">
        <f ca="1"/>
        <v>101.97466712801909</v>
      </c>
      <c r="I74" s="7">
        <f ca="1"/>
        <v>-1</v>
      </c>
      <c r="J74" s="7">
        <f ca="1"/>
        <v>4.0833065672777167</v>
      </c>
      <c r="K74">
        <f ca="1"/>
        <v>0</v>
      </c>
      <c r="L74">
        <f ca="1"/>
        <v>2.1086394392586243</v>
      </c>
    </row>
    <row r="75" spans="2:12" x14ac:dyDescent="0.3">
      <c r="B75">
        <v>6.5000000000000002E-2</v>
      </c>
      <c r="C75">
        <f ca="1"/>
        <v>-0.11121908065009814</v>
      </c>
      <c r="D75">
        <f ca="1"/>
        <v>1</v>
      </c>
      <c r="E75" s="11">
        <f ca="1"/>
        <v>97.673117715098755</v>
      </c>
      <c r="F75" s="10">
        <f ca="1"/>
        <v>0</v>
      </c>
      <c r="G75" s="7">
        <f ca="1"/>
        <v>0</v>
      </c>
      <c r="H75" s="10">
        <f ca="1"/>
        <v>101.97466712801909</v>
      </c>
      <c r="I75" s="7">
        <f ca="1"/>
        <v>-1</v>
      </c>
      <c r="J75" s="7">
        <f ca="1"/>
        <v>4.3015494129203375</v>
      </c>
      <c r="K75">
        <f ca="1"/>
        <v>0</v>
      </c>
      <c r="L75">
        <f ca="1"/>
        <v>2.3268822849012452</v>
      </c>
    </row>
    <row r="76" spans="2:12" x14ac:dyDescent="0.3">
      <c r="B76">
        <v>6.6000000000000003E-2</v>
      </c>
      <c r="C76">
        <f ca="1"/>
        <v>-9.1894281424654806E-2</v>
      </c>
      <c r="D76">
        <f ca="1"/>
        <v>1</v>
      </c>
      <c r="E76" s="11">
        <f ca="1"/>
        <v>98.04938984271044</v>
      </c>
      <c r="F76" s="10">
        <f ca="1"/>
        <v>0</v>
      </c>
      <c r="G76" s="7">
        <f ca="1"/>
        <v>0</v>
      </c>
      <c r="H76" s="10">
        <f ca="1"/>
        <v>101.97466712801909</v>
      </c>
      <c r="I76" s="7">
        <f ca="1"/>
        <v>-1</v>
      </c>
      <c r="J76" s="7">
        <f ca="1"/>
        <v>3.9252772853086526</v>
      </c>
      <c r="K76">
        <f ca="1"/>
        <v>0</v>
      </c>
      <c r="L76">
        <f ca="1"/>
        <v>1.9506101572895602</v>
      </c>
    </row>
    <row r="77" spans="2:12" x14ac:dyDescent="0.3">
      <c r="B77">
        <v>6.7000000000000004E-2</v>
      </c>
      <c r="C77">
        <f ca="1"/>
        <v>-0.13083876078331833</v>
      </c>
      <c r="D77">
        <f ca="1"/>
        <v>1</v>
      </c>
      <c r="E77" s="11">
        <f ca="1"/>
        <v>97.286714070573353</v>
      </c>
      <c r="F77" s="10">
        <f ca="1"/>
        <v>0</v>
      </c>
      <c r="G77" s="7">
        <f ca="1"/>
        <v>0</v>
      </c>
      <c r="H77" s="10">
        <f ca="1"/>
        <v>101.97466712801909</v>
      </c>
      <c r="I77" s="7">
        <f ca="1"/>
        <v>-1</v>
      </c>
      <c r="J77" s="7">
        <f ca="1"/>
        <v>4.6879530574457391</v>
      </c>
      <c r="K77">
        <f ca="1"/>
        <v>0</v>
      </c>
      <c r="L77">
        <f ca="1"/>
        <v>2.7132859294266467</v>
      </c>
    </row>
    <row r="78" spans="2:12" x14ac:dyDescent="0.3">
      <c r="B78">
        <v>6.8000000000000005E-2</v>
      </c>
      <c r="C78">
        <f ca="1"/>
        <v>-0.10121865996285906</v>
      </c>
      <c r="D78">
        <f ca="1"/>
        <v>1</v>
      </c>
      <c r="E78" s="11">
        <f ca="1"/>
        <v>97.862795717580312</v>
      </c>
      <c r="F78" s="10">
        <f ca="1"/>
        <v>0</v>
      </c>
      <c r="G78" s="7">
        <f ca="1"/>
        <v>0</v>
      </c>
      <c r="H78" s="10">
        <f ca="1"/>
        <v>101.97466712801909</v>
      </c>
      <c r="I78" s="7">
        <f ca="1"/>
        <v>-1</v>
      </c>
      <c r="J78" s="7">
        <f ca="1"/>
        <v>4.1118714104387806</v>
      </c>
      <c r="K78">
        <f ca="1"/>
        <v>0</v>
      </c>
      <c r="L78">
        <f ca="1"/>
        <v>2.1372042824196882</v>
      </c>
    </row>
    <row r="79" spans="2:12" x14ac:dyDescent="0.3">
      <c r="B79">
        <v>6.9000000000000006E-2</v>
      </c>
      <c r="C79">
        <f ca="1"/>
        <v>-9.0264958362577613E-2</v>
      </c>
      <c r="D79">
        <f ca="1"/>
        <v>1</v>
      </c>
      <c r="E79" s="11">
        <f ca="1"/>
        <v>98.075461171306799</v>
      </c>
      <c r="F79" s="10">
        <f ca="1"/>
        <v>0</v>
      </c>
      <c r="G79" s="7">
        <f ca="1"/>
        <v>0</v>
      </c>
      <c r="H79" s="10">
        <f ca="1"/>
        <v>101.97466712801909</v>
      </c>
      <c r="I79" s="7">
        <f ca="1"/>
        <v>-1</v>
      </c>
      <c r="J79" s="7">
        <f ca="1"/>
        <v>3.8992059567122936</v>
      </c>
      <c r="K79">
        <f ca="1"/>
        <v>0</v>
      </c>
      <c r="L79">
        <f ca="1"/>
        <v>1.9245388286932013</v>
      </c>
    </row>
    <row r="80" spans="2:12" x14ac:dyDescent="0.3">
      <c r="B80">
        <v>7.0000000000000007E-2</v>
      </c>
      <c r="C80">
        <f ca="1"/>
        <v>-0.10461367278617933</v>
      </c>
      <c r="D80">
        <f ca="1"/>
        <v>1</v>
      </c>
      <c r="E80" s="11">
        <f ca="1"/>
        <v>97.792457406217508</v>
      </c>
      <c r="F80" s="10">
        <f ca="1"/>
        <v>0</v>
      </c>
      <c r="G80" s="7">
        <f ca="1"/>
        <v>0</v>
      </c>
      <c r="H80" s="10">
        <f ca="1"/>
        <v>101.97466712801909</v>
      </c>
      <c r="I80" s="7">
        <f ca="1"/>
        <v>-1</v>
      </c>
      <c r="J80" s="7">
        <f ca="1"/>
        <v>4.1822097218015841</v>
      </c>
      <c r="K80">
        <f ca="1"/>
        <v>0</v>
      </c>
      <c r="L80">
        <f ca="1"/>
        <v>2.2075425937824917</v>
      </c>
    </row>
    <row r="81" spans="2:12" x14ac:dyDescent="0.3">
      <c r="B81">
        <v>7.1000000000000008E-2</v>
      </c>
      <c r="C81">
        <f ca="1"/>
        <v>-0.11447150240875226</v>
      </c>
      <c r="D81">
        <f ca="1"/>
        <v>1</v>
      </c>
      <c r="E81" s="11">
        <f ca="1"/>
        <v>97.597891090504547</v>
      </c>
      <c r="F81" s="10">
        <f ca="1"/>
        <v>0</v>
      </c>
      <c r="G81" s="7">
        <f ca="1"/>
        <v>0</v>
      </c>
      <c r="H81" s="10">
        <f ca="1"/>
        <v>101.97466712801909</v>
      </c>
      <c r="I81" s="7">
        <f ca="1"/>
        <v>-1</v>
      </c>
      <c r="J81" s="7">
        <f ca="1"/>
        <v>4.3767760375145457</v>
      </c>
      <c r="K81">
        <f ca="1"/>
        <v>0</v>
      </c>
      <c r="L81">
        <f ca="1"/>
        <v>2.4021089094954533</v>
      </c>
    </row>
    <row r="82" spans="2:12" x14ac:dyDescent="0.3">
      <c r="B82">
        <v>7.2000000000000008E-2</v>
      </c>
      <c r="C82">
        <f ca="1"/>
        <v>-8.571641243553732E-2</v>
      </c>
      <c r="D82">
        <f ca="1"/>
        <v>1</v>
      </c>
      <c r="E82" s="11">
        <f ca="1"/>
        <v>98.158832207078433</v>
      </c>
      <c r="F82" s="10">
        <f ca="1"/>
        <v>0</v>
      </c>
      <c r="G82" s="7">
        <f ca="1"/>
        <v>0</v>
      </c>
      <c r="H82" s="10">
        <f ca="1"/>
        <v>101.97466712801909</v>
      </c>
      <c r="I82" s="7">
        <f ca="1"/>
        <v>-1</v>
      </c>
      <c r="J82" s="7">
        <f ca="1"/>
        <v>3.8158349209406595</v>
      </c>
      <c r="K82">
        <f ca="1"/>
        <v>0</v>
      </c>
      <c r="L82">
        <f ca="1"/>
        <v>1.8411677929215671</v>
      </c>
    </row>
    <row r="83" spans="2:12" x14ac:dyDescent="0.3">
      <c r="B83">
        <v>7.2999999999999995E-2</v>
      </c>
      <c r="C83">
        <f ca="1"/>
        <v>-0.15647968782123475</v>
      </c>
      <c r="D83">
        <f ca="1"/>
        <v>1</v>
      </c>
      <c r="E83" s="11">
        <f ca="1"/>
        <v>96.777472822534421</v>
      </c>
      <c r="F83" s="10">
        <f ca="1"/>
        <v>0</v>
      </c>
      <c r="G83" s="7">
        <f ca="1"/>
        <v>0</v>
      </c>
      <c r="H83" s="10">
        <f ca="1"/>
        <v>101.97466712801909</v>
      </c>
      <c r="I83" s="7">
        <f ca="1"/>
        <v>-1</v>
      </c>
      <c r="J83" s="7">
        <f ca="1"/>
        <v>5.1971943054846719</v>
      </c>
      <c r="K83">
        <f ca="1"/>
        <v>0</v>
      </c>
      <c r="L83">
        <f ca="1"/>
        <v>3.2225271774655795</v>
      </c>
    </row>
    <row r="84" spans="2:12" x14ac:dyDescent="0.3">
      <c r="B84">
        <v>7.3999999999999996E-2</v>
      </c>
      <c r="C84">
        <f ca="1"/>
        <v>-0.17128403528698419</v>
      </c>
      <c r="D84">
        <f ca="1"/>
        <v>1</v>
      </c>
      <c r="E84" s="11">
        <f ca="1"/>
        <v>96.489421341401965</v>
      </c>
      <c r="F84" s="10">
        <f ca="1"/>
        <v>0</v>
      </c>
      <c r="G84" s="7">
        <f ca="1"/>
        <v>0</v>
      </c>
      <c r="H84" s="10">
        <f ca="1"/>
        <v>101.97466712801909</v>
      </c>
      <c r="I84" s="7">
        <f ca="1"/>
        <v>-1</v>
      </c>
      <c r="J84" s="7">
        <f ca="1"/>
        <v>5.4852457866171278</v>
      </c>
      <c r="K84">
        <f ca="1"/>
        <v>0</v>
      </c>
      <c r="L84">
        <f ca="1"/>
        <v>3.5105786585980354</v>
      </c>
    </row>
    <row r="85" spans="2:12" x14ac:dyDescent="0.3">
      <c r="B85">
        <v>7.4999999999999997E-2</v>
      </c>
      <c r="C85">
        <f ca="1"/>
        <v>-0.17184271122051573</v>
      </c>
      <c r="D85">
        <f ca="1"/>
        <v>1</v>
      </c>
      <c r="E85" s="11">
        <f ca="1"/>
        <v>96.476711126675994</v>
      </c>
      <c r="F85" s="10">
        <f ca="1"/>
        <v>0</v>
      </c>
      <c r="G85" s="7">
        <f ca="1"/>
        <v>0</v>
      </c>
      <c r="H85" s="10">
        <f ca="1"/>
        <v>101.97466712801909</v>
      </c>
      <c r="I85" s="7">
        <f ca="1"/>
        <v>-1</v>
      </c>
      <c r="J85" s="7">
        <f ca="1"/>
        <v>5.4979560013430984</v>
      </c>
      <c r="K85">
        <f ca="1"/>
        <v>0</v>
      </c>
      <c r="L85">
        <f ca="1"/>
        <v>3.523288873324006</v>
      </c>
    </row>
    <row r="86" spans="2:12" x14ac:dyDescent="0.3">
      <c r="B86">
        <v>7.5999999999999998E-2</v>
      </c>
      <c r="C86">
        <f ca="1"/>
        <v>-0.14482441054278775</v>
      </c>
      <c r="D86">
        <f ca="1"/>
        <v>1</v>
      </c>
      <c r="E86" s="11">
        <f ca="1"/>
        <v>96.997509593456911</v>
      </c>
      <c r="F86" s="10">
        <f ca="1"/>
        <v>0</v>
      </c>
      <c r="G86" s="7">
        <f ca="1"/>
        <v>0</v>
      </c>
      <c r="H86" s="10">
        <f ca="1"/>
        <v>101.97466712801909</v>
      </c>
      <c r="I86" s="7">
        <f ca="1"/>
        <v>-1</v>
      </c>
      <c r="J86" s="7">
        <f ca="1"/>
        <v>4.9771575345621812</v>
      </c>
      <c r="K86">
        <f ca="1"/>
        <v>0</v>
      </c>
      <c r="L86">
        <f ca="1"/>
        <v>3.0024904065430889</v>
      </c>
    </row>
    <row r="87" spans="2:12" x14ac:dyDescent="0.3">
      <c r="B87">
        <v>7.6999999999999999E-2</v>
      </c>
      <c r="C87">
        <f ca="1"/>
        <v>-0.16275568428013898</v>
      </c>
      <c r="D87">
        <f ca="1"/>
        <v>1</v>
      </c>
      <c r="E87" s="11">
        <f ca="1"/>
        <v>96.648341836346191</v>
      </c>
      <c r="F87" s="10">
        <f ca="1"/>
        <v>0</v>
      </c>
      <c r="G87" s="7">
        <f ca="1"/>
        <v>0</v>
      </c>
      <c r="H87" s="10">
        <f ca="1"/>
        <v>101.97466712801909</v>
      </c>
      <c r="I87" s="7">
        <f ca="1"/>
        <v>-1</v>
      </c>
      <c r="J87" s="7">
        <f ca="1"/>
        <v>5.3263252916729016</v>
      </c>
      <c r="K87">
        <f ca="1"/>
        <v>0</v>
      </c>
      <c r="L87">
        <f ca="1"/>
        <v>3.3516581636538092</v>
      </c>
    </row>
    <row r="88" spans="2:12" x14ac:dyDescent="0.3">
      <c r="B88">
        <v>7.8E-2</v>
      </c>
      <c r="C88">
        <f ca="1"/>
        <v>-0.21968833456700673</v>
      </c>
      <c r="D88">
        <f ca="1"/>
        <v>1</v>
      </c>
      <c r="E88" s="11">
        <f ca="1"/>
        <v>95.552183188453455</v>
      </c>
      <c r="F88" s="10">
        <f ca="1"/>
        <v>0</v>
      </c>
      <c r="G88" s="7">
        <f ca="1"/>
        <v>0</v>
      </c>
      <c r="H88" s="10">
        <f ca="1"/>
        <v>101.97466712801909</v>
      </c>
      <c r="I88" s="7">
        <f ca="1"/>
        <v>-1</v>
      </c>
      <c r="J88" s="7">
        <f ca="1"/>
        <v>6.4224839395656375</v>
      </c>
      <c r="K88">
        <f ca="1"/>
        <v>0</v>
      </c>
      <c r="L88">
        <f ca="1"/>
        <v>4.4478168115465451</v>
      </c>
    </row>
    <row r="89" spans="2:12" x14ac:dyDescent="0.3">
      <c r="B89">
        <v>7.9000000000000001E-2</v>
      </c>
      <c r="C89">
        <f ca="1"/>
        <v>-0.19656078730112586</v>
      </c>
      <c r="D89">
        <f ca="1"/>
        <v>1</v>
      </c>
      <c r="E89" s="11">
        <f ca="1"/>
        <v>95.993264594053585</v>
      </c>
      <c r="F89" s="10">
        <f ca="1"/>
        <v>0</v>
      </c>
      <c r="G89" s="7">
        <f ca="1"/>
        <v>0</v>
      </c>
      <c r="H89" s="10">
        <f ca="1"/>
        <v>101.97466712801909</v>
      </c>
      <c r="I89" s="7">
        <f ca="1"/>
        <v>-1</v>
      </c>
      <c r="J89" s="7">
        <f ca="1"/>
        <v>5.9814025339655075</v>
      </c>
      <c r="K89">
        <f ca="1"/>
        <v>0</v>
      </c>
      <c r="L89">
        <f ca="1"/>
        <v>4.0067354059464151</v>
      </c>
    </row>
    <row r="90" spans="2:12" x14ac:dyDescent="0.3">
      <c r="B90">
        <v>0.08</v>
      </c>
      <c r="C90">
        <f ca="1"/>
        <v>-0.15208096638976162</v>
      </c>
      <c r="D90">
        <f ca="1"/>
        <v>1</v>
      </c>
      <c r="E90" s="11">
        <f ca="1"/>
        <v>96.84908989098966</v>
      </c>
      <c r="F90" s="10">
        <f ca="1"/>
        <v>0</v>
      </c>
      <c r="G90" s="7">
        <f ca="1"/>
        <v>0</v>
      </c>
      <c r="H90" s="10">
        <f ca="1"/>
        <v>101.97466712801909</v>
      </c>
      <c r="I90" s="7">
        <f ca="1"/>
        <v>-1</v>
      </c>
      <c r="J90" s="7">
        <f ca="1"/>
        <v>5.1255772370294324</v>
      </c>
      <c r="K90">
        <f ca="1"/>
        <v>0</v>
      </c>
      <c r="L90">
        <f ca="1"/>
        <v>3.15091010901034</v>
      </c>
    </row>
    <row r="91" spans="2:12" x14ac:dyDescent="0.3">
      <c r="B91">
        <v>8.1000000000000003E-2</v>
      </c>
      <c r="C91">
        <f ca="1"/>
        <v>-0.11575915479065876</v>
      </c>
      <c r="D91">
        <f ca="1"/>
        <v>1</v>
      </c>
      <c r="E91" s="11">
        <f ca="1"/>
        <v>97.553247294627482</v>
      </c>
      <c r="F91" s="10">
        <f ca="1"/>
        <v>0</v>
      </c>
      <c r="G91" s="7">
        <f ca="1"/>
        <v>0</v>
      </c>
      <c r="H91" s="10">
        <f ca="1"/>
        <v>101.97466712801909</v>
      </c>
      <c r="I91" s="7">
        <f ca="1"/>
        <v>-1</v>
      </c>
      <c r="J91" s="7">
        <f ca="1"/>
        <v>4.4214198333916102</v>
      </c>
      <c r="K91">
        <f ca="1"/>
        <v>0</v>
      </c>
      <c r="L91">
        <f ca="1"/>
        <v>2.4467527053725178</v>
      </c>
    </row>
    <row r="92" spans="2:12" x14ac:dyDescent="0.3">
      <c r="B92">
        <v>8.2000000000000003E-2</v>
      </c>
      <c r="C92">
        <f ca="1"/>
        <v>-6.201315298183472E-2</v>
      </c>
      <c r="D92">
        <f ca="1"/>
        <v>1</v>
      </c>
      <c r="E92" s="11">
        <f ca="1"/>
        <v>98.605550723251227</v>
      </c>
      <c r="F92" s="10">
        <f ca="1"/>
        <v>0</v>
      </c>
      <c r="G92" s="7">
        <f ca="1"/>
        <v>0</v>
      </c>
      <c r="H92" s="10">
        <f ca="1"/>
        <v>101.97466712801909</v>
      </c>
      <c r="I92" s="7">
        <f ca="1"/>
        <v>-1</v>
      </c>
      <c r="J92" s="7">
        <f ca="1"/>
        <v>3.3691164047678654</v>
      </c>
      <c r="K92">
        <f ca="1"/>
        <v>0</v>
      </c>
      <c r="L92">
        <f ca="1"/>
        <v>1.3944492767487731</v>
      </c>
    </row>
    <row r="93" spans="2:12" x14ac:dyDescent="0.3">
      <c r="B93">
        <v>8.3000000000000004E-2</v>
      </c>
      <c r="C93">
        <f ca="1"/>
        <v>-5.0283781509251328E-2</v>
      </c>
      <c r="D93">
        <f ca="1"/>
        <v>1</v>
      </c>
      <c r="E93" s="11">
        <f ca="1"/>
        <v>98.835161758667198</v>
      </c>
      <c r="F93" s="10">
        <f ca="1"/>
        <v>0</v>
      </c>
      <c r="G93" s="7">
        <f ca="1"/>
        <v>0</v>
      </c>
      <c r="H93" s="10">
        <f ca="1"/>
        <v>101.97466712801909</v>
      </c>
      <c r="I93" s="7">
        <f ca="1"/>
        <v>-1</v>
      </c>
      <c r="J93" s="7">
        <f ca="1"/>
        <v>3.1395053693518946</v>
      </c>
      <c r="K93">
        <f ca="1"/>
        <v>0</v>
      </c>
      <c r="L93">
        <f ca="1"/>
        <v>1.1648382413328022</v>
      </c>
    </row>
    <row r="94" spans="2:12" x14ac:dyDescent="0.3">
      <c r="B94">
        <v>8.4000000000000005E-2</v>
      </c>
      <c r="C94">
        <f ca="1"/>
        <v>-1.9771539707597797E-2</v>
      </c>
      <c r="D94">
        <f ca="1"/>
        <v>1</v>
      </c>
      <c r="E94" s="11">
        <f ca="1"/>
        <v>99.438153500282937</v>
      </c>
      <c r="F94" s="10">
        <f ca="1"/>
        <v>0</v>
      </c>
      <c r="G94" s="7">
        <f ca="1"/>
        <v>0</v>
      </c>
      <c r="H94" s="10">
        <f ca="1"/>
        <v>101.97466712801909</v>
      </c>
      <c r="I94" s="7">
        <f ca="1"/>
        <v>-1</v>
      </c>
      <c r="J94" s="7">
        <f ca="1"/>
        <v>2.5365136277361557</v>
      </c>
      <c r="K94">
        <f ca="1"/>
        <v>0</v>
      </c>
      <c r="L94">
        <f ca="1"/>
        <v>0.56184649971706335</v>
      </c>
    </row>
    <row r="95" spans="2:12" x14ac:dyDescent="0.3">
      <c r="B95">
        <v>8.5000000000000006E-2</v>
      </c>
      <c r="C95">
        <f ca="1"/>
        <v>1.9335253783705764E-2</v>
      </c>
      <c r="D95">
        <f ca="1"/>
        <v>1</v>
      </c>
      <c r="E95" s="11">
        <f ca="1"/>
        <v>100.21694005082693</v>
      </c>
      <c r="F95" s="10">
        <f ca="1"/>
        <v>-100.21694005082693</v>
      </c>
      <c r="G95" s="7">
        <f ca="1"/>
        <v>1</v>
      </c>
      <c r="H95" s="10">
        <f ca="1"/>
        <v>1.7577270771921576</v>
      </c>
      <c r="I95" s="7">
        <f ca="1"/>
        <v>0</v>
      </c>
      <c r="J95" s="7">
        <f ca="1"/>
        <v>1.7577270771921576</v>
      </c>
      <c r="K95">
        <f ca="1"/>
        <v>0</v>
      </c>
      <c r="L95">
        <f ca="1"/>
        <v>0</v>
      </c>
    </row>
    <row r="96" spans="2:12" x14ac:dyDescent="0.3">
      <c r="B96">
        <v>8.6000000000000007E-2</v>
      </c>
      <c r="C96">
        <f ca="1"/>
        <v>1.7992872329714221E-2</v>
      </c>
      <c r="D96">
        <f ca="1"/>
        <v>1</v>
      </c>
      <c r="E96" s="11">
        <f ca="1"/>
        <v>100.18803400924021</v>
      </c>
      <c r="F96" s="10">
        <f ca="1"/>
        <v>0</v>
      </c>
      <c r="G96" s="7">
        <f ca="1"/>
        <v>0</v>
      </c>
      <c r="H96" s="10">
        <f ca="1"/>
        <v>1.7577270771921576</v>
      </c>
      <c r="I96" s="7">
        <f ca="1"/>
        <v>0</v>
      </c>
      <c r="J96" s="7">
        <f ca="1"/>
        <v>1.7577270771921576</v>
      </c>
      <c r="K96">
        <f ca="1"/>
        <v>0</v>
      </c>
      <c r="L96">
        <f ca="1"/>
        <v>0</v>
      </c>
    </row>
    <row r="97" spans="2:12" x14ac:dyDescent="0.3">
      <c r="B97">
        <v>8.7000000000000008E-2</v>
      </c>
      <c r="C97">
        <f ca="1"/>
        <v>-2.7583089832752823E-2</v>
      </c>
      <c r="D97">
        <f ca="1"/>
        <v>1</v>
      </c>
      <c r="E97" s="11">
        <f ca="1"/>
        <v>99.27696477138683</v>
      </c>
      <c r="F97" s="10">
        <f ca="1"/>
        <v>99.27696477138683</v>
      </c>
      <c r="G97" s="7">
        <f ca="1"/>
        <v>-1</v>
      </c>
      <c r="H97" s="10">
        <f ca="1"/>
        <v>101.03469184857899</v>
      </c>
      <c r="I97" s="7">
        <f ca="1"/>
        <v>-1</v>
      </c>
      <c r="J97" s="7">
        <f ca="1"/>
        <v>1.7577270771921576</v>
      </c>
      <c r="K97">
        <f ca="1"/>
        <v>0</v>
      </c>
      <c r="L97">
        <f ca="1"/>
        <v>0.72303522861317049</v>
      </c>
    </row>
    <row r="98" spans="2:12" x14ac:dyDescent="0.3">
      <c r="B98">
        <v>8.7999999999999995E-2</v>
      </c>
      <c r="C98">
        <f ca="1"/>
        <v>-5.9446162648535604E-2</v>
      </c>
      <c r="D98">
        <f ca="1"/>
        <v>1</v>
      </c>
      <c r="E98" s="11">
        <f ca="1"/>
        <v>98.64434958746638</v>
      </c>
      <c r="F98" s="10">
        <f ca="1"/>
        <v>0</v>
      </c>
      <c r="G98" s="7">
        <f ca="1"/>
        <v>0</v>
      </c>
      <c r="H98" s="10">
        <f ca="1"/>
        <v>101.03469184857899</v>
      </c>
      <c r="I98" s="7">
        <f ca="1"/>
        <v>-1</v>
      </c>
      <c r="J98" s="7">
        <f ca="1"/>
        <v>2.3903422611126075</v>
      </c>
      <c r="K98">
        <f ca="1"/>
        <v>0</v>
      </c>
      <c r="L98">
        <f ca="1"/>
        <v>1.3556504125336204</v>
      </c>
    </row>
    <row r="99" spans="2:12" x14ac:dyDescent="0.3">
      <c r="B99">
        <v>8.8999999999999996E-2</v>
      </c>
      <c r="C99">
        <f ca="1"/>
        <v>-5.557985572636058E-2</v>
      </c>
      <c r="D99">
        <f ca="1"/>
        <v>1</v>
      </c>
      <c r="E99" s="11">
        <f ca="1"/>
        <v>98.718682559367252</v>
      </c>
      <c r="F99" s="10">
        <f ca="1"/>
        <v>0</v>
      </c>
      <c r="G99" s="7">
        <f ca="1"/>
        <v>0</v>
      </c>
      <c r="H99" s="10">
        <f ca="1"/>
        <v>101.03469184857899</v>
      </c>
      <c r="I99" s="7">
        <f ca="1"/>
        <v>-1</v>
      </c>
      <c r="J99">
        <f ca="1"/>
        <v>2.3160092892117348</v>
      </c>
      <c r="K99">
        <f ca="1"/>
        <v>0</v>
      </c>
      <c r="L99">
        <f ca="1"/>
        <v>1.2813174406327477</v>
      </c>
    </row>
    <row r="100" spans="2:12" x14ac:dyDescent="0.3">
      <c r="B100">
        <v>0.09</v>
      </c>
      <c r="C100">
        <f ca="1"/>
        <v>-8.7749924547606828E-2</v>
      </c>
      <c r="D100">
        <f ca="1"/>
        <v>1</v>
      </c>
      <c r="E100" s="11">
        <f ca="1"/>
        <v>98.083602435753107</v>
      </c>
      <c r="F100" s="10">
        <f ca="1"/>
        <v>0</v>
      </c>
      <c r="G100" s="7">
        <f ca="1"/>
        <v>0</v>
      </c>
      <c r="H100" s="10">
        <f ca="1"/>
        <v>101.03469184857899</v>
      </c>
      <c r="I100" s="7">
        <f ca="1"/>
        <v>-1</v>
      </c>
      <c r="J100">
        <f ca="1"/>
        <v>2.9510894128258798</v>
      </c>
      <c r="K100">
        <f ca="1"/>
        <v>0</v>
      </c>
      <c r="L100">
        <f ca="1"/>
        <v>1.9163975642468927</v>
      </c>
    </row>
    <row r="101" spans="2:12" x14ac:dyDescent="0.3">
      <c r="B101">
        <v>9.0999999999999998E-2</v>
      </c>
      <c r="C101">
        <f ca="1"/>
        <v>-7.8951514436178399E-2</v>
      </c>
      <c r="D101">
        <f ca="1"/>
        <v>1</v>
      </c>
      <c r="E101" s="11">
        <f ca="1"/>
        <v>98.254385226394163</v>
      </c>
      <c r="F101" s="10">
        <f ca="1"/>
        <v>0</v>
      </c>
      <c r="G101" s="7">
        <f ca="1"/>
        <v>0</v>
      </c>
      <c r="H101" s="10">
        <f ca="1"/>
        <v>101.03469184857899</v>
      </c>
      <c r="I101" s="7">
        <f ca="1"/>
        <v>-1</v>
      </c>
      <c r="J101">
        <f ca="1"/>
        <v>2.7803066221848241</v>
      </c>
      <c r="K101">
        <f ca="1"/>
        <v>0</v>
      </c>
      <c r="L101">
        <f ca="1"/>
        <v>1.7456147736058369</v>
      </c>
    </row>
    <row r="102" spans="2:12" x14ac:dyDescent="0.3">
      <c r="B102">
        <v>9.1999999999999998E-2</v>
      </c>
      <c r="C102">
        <f ca="1"/>
        <v>-5.1957248480942762E-2</v>
      </c>
      <c r="D102">
        <f ca="1"/>
        <v>1</v>
      </c>
      <c r="E102" s="11">
        <f ca="1"/>
        <v>98.784305042712234</v>
      </c>
      <c r="F102" s="10">
        <f ca="1"/>
        <v>0</v>
      </c>
      <c r="G102" s="7">
        <f ca="1"/>
        <v>0</v>
      </c>
      <c r="H102" s="10">
        <f ca="1"/>
        <v>101.03469184857899</v>
      </c>
      <c r="I102" s="7">
        <f ca="1"/>
        <v>-1</v>
      </c>
      <c r="J102">
        <f ca="1"/>
        <v>2.2503868058667535</v>
      </c>
      <c r="K102">
        <f ca="1"/>
        <v>0</v>
      </c>
      <c r="L102">
        <f ca="1"/>
        <v>1.2156949572877664</v>
      </c>
    </row>
    <row r="103" spans="2:12" x14ac:dyDescent="0.3">
      <c r="B103">
        <v>9.2999999999999999E-2</v>
      </c>
      <c r="C103">
        <f ca="1"/>
        <v>-2.7039365373029599E-2</v>
      </c>
      <c r="D103">
        <f ca="1"/>
        <v>1</v>
      </c>
      <c r="E103" s="11">
        <f ca="1"/>
        <v>99.275847404708983</v>
      </c>
      <c r="F103" s="10">
        <f ca="1"/>
        <v>0</v>
      </c>
      <c r="G103" s="7">
        <f ca="1"/>
        <v>0</v>
      </c>
      <c r="H103" s="10">
        <f ca="1"/>
        <v>101.03469184857899</v>
      </c>
      <c r="I103" s="7">
        <f ca="1"/>
        <v>-1</v>
      </c>
      <c r="J103">
        <f ca="1"/>
        <v>1.7588444438700037</v>
      </c>
      <c r="K103">
        <f ca="1"/>
        <v>0</v>
      </c>
      <c r="L103">
        <f ca="1"/>
        <v>0.72415259529101661</v>
      </c>
    </row>
    <row r="104" spans="2:12" x14ac:dyDescent="0.3">
      <c r="B104">
        <v>9.4E-2</v>
      </c>
      <c r="C104">
        <f ca="1"/>
        <v>-5.9138048146133645E-3</v>
      </c>
      <c r="D104">
        <f ca="1"/>
        <v>1</v>
      </c>
      <c r="E104" s="11">
        <f ca="1"/>
        <v>99.694192450472556</v>
      </c>
      <c r="F104" s="10">
        <f ca="1"/>
        <v>0</v>
      </c>
      <c r="G104" s="7">
        <f ca="1"/>
        <v>0</v>
      </c>
      <c r="H104" s="10">
        <f ca="1"/>
        <v>101.03469184857899</v>
      </c>
      <c r="I104" s="7">
        <f ca="1"/>
        <v>-1</v>
      </c>
      <c r="J104">
        <f ca="1"/>
        <v>1.3404993981064308</v>
      </c>
      <c r="K104">
        <f ca="1"/>
        <v>0</v>
      </c>
      <c r="L104">
        <f ca="1"/>
        <v>0.30580754952744371</v>
      </c>
    </row>
    <row r="105" spans="2:12" x14ac:dyDescent="0.3">
      <c r="B105">
        <v>9.5000000000000001E-2</v>
      </c>
      <c r="C105">
        <f ca="1"/>
        <v>-8.1247117409375402E-3</v>
      </c>
      <c r="D105">
        <f ca="1"/>
        <v>1</v>
      </c>
      <c r="E105" s="11">
        <f ca="1"/>
        <v>99.648126296782323</v>
      </c>
      <c r="F105" s="10">
        <f ca="1"/>
        <v>0</v>
      </c>
      <c r="G105" s="7">
        <f ca="1"/>
        <v>0</v>
      </c>
      <c r="H105" s="10">
        <f ca="1"/>
        <v>101.03469184857899</v>
      </c>
      <c r="I105" s="7">
        <f ca="1"/>
        <v>-1</v>
      </c>
      <c r="J105">
        <f ca="1"/>
        <v>1.3865655517966644</v>
      </c>
      <c r="K105">
        <f ca="1"/>
        <v>0</v>
      </c>
      <c r="L105">
        <f ca="1"/>
        <v>0.3518737032176773</v>
      </c>
    </row>
    <row r="106" spans="2:12" x14ac:dyDescent="0.3">
      <c r="B106">
        <v>9.6000000000000002E-2</v>
      </c>
      <c r="C106">
        <f ca="1"/>
        <v>-8.2043700239813735E-2</v>
      </c>
      <c r="D106">
        <f ca="1"/>
        <v>1</v>
      </c>
      <c r="E106" s="11">
        <f ca="1"/>
        <v>98.183820975868187</v>
      </c>
      <c r="F106" s="10">
        <f ca="1"/>
        <v>0</v>
      </c>
      <c r="G106" s="7">
        <f ca="1"/>
        <v>0</v>
      </c>
      <c r="H106" s="10">
        <f ca="1"/>
        <v>101.03469184857899</v>
      </c>
      <c r="I106" s="7">
        <f ca="1"/>
        <v>-1</v>
      </c>
      <c r="J106">
        <f ca="1"/>
        <v>2.8508708727108001</v>
      </c>
      <c r="K106">
        <f ca="1"/>
        <v>0</v>
      </c>
      <c r="L106">
        <f ca="1"/>
        <v>1.816179024131813</v>
      </c>
    </row>
    <row r="107" spans="2:12" x14ac:dyDescent="0.3">
      <c r="B107">
        <v>9.7000000000000003E-2</v>
      </c>
      <c r="C107">
        <f ca="1"/>
        <v>-6.1389108314062524E-2</v>
      </c>
      <c r="D107">
        <f ca="1"/>
        <v>1</v>
      </c>
      <c r="E107" s="11">
        <f ca="1"/>
        <v>98.588277424770538</v>
      </c>
      <c r="F107" s="10">
        <f ca="1"/>
        <v>0</v>
      </c>
      <c r="G107" s="7">
        <f ca="1"/>
        <v>0</v>
      </c>
      <c r="H107" s="10">
        <f ca="1"/>
        <v>101.03469184857899</v>
      </c>
      <c r="I107" s="7">
        <f ca="1"/>
        <v>-1</v>
      </c>
      <c r="J107">
        <f ca="1"/>
        <v>2.4464144238084486</v>
      </c>
      <c r="K107">
        <f ca="1"/>
        <v>0</v>
      </c>
      <c r="L107">
        <f ca="1"/>
        <v>1.4117225752294615</v>
      </c>
    </row>
    <row r="108" spans="2:12" x14ac:dyDescent="0.3">
      <c r="B108">
        <v>9.8000000000000004E-2</v>
      </c>
      <c r="C108">
        <f ca="1"/>
        <v>-8.8144458174923251E-2</v>
      </c>
      <c r="D108">
        <f ca="1"/>
        <v>1</v>
      </c>
      <c r="E108" s="11">
        <f ca="1"/>
        <v>98.060172402381269</v>
      </c>
      <c r="F108" s="10">
        <f ca="1"/>
        <v>0</v>
      </c>
      <c r="G108" s="7">
        <f ca="1"/>
        <v>0</v>
      </c>
      <c r="H108" s="10">
        <f ca="1"/>
        <v>101.03469184857899</v>
      </c>
      <c r="I108" s="7">
        <f ca="1"/>
        <v>-1</v>
      </c>
      <c r="J108">
        <f ca="1"/>
        <v>2.9745194461977178</v>
      </c>
      <c r="K108">
        <f ca="1"/>
        <v>0</v>
      </c>
      <c r="L108">
        <f ca="1"/>
        <v>1.9398275976187307</v>
      </c>
    </row>
    <row r="109" spans="2:12" x14ac:dyDescent="0.3">
      <c r="B109">
        <v>9.9000000000000005E-2</v>
      </c>
      <c r="C109">
        <f ca="1"/>
        <v>-0.11774754858492276</v>
      </c>
      <c r="D109">
        <f ca="1"/>
        <v>1</v>
      </c>
      <c r="E109" s="11">
        <f ca="1"/>
        <v>97.479361265767253</v>
      </c>
      <c r="F109" s="10">
        <f ca="1"/>
        <v>0</v>
      </c>
      <c r="G109" s="7">
        <f ca="1"/>
        <v>0</v>
      </c>
      <c r="H109" s="10">
        <f ca="1"/>
        <v>101.03469184857899</v>
      </c>
      <c r="I109" s="7">
        <f ca="1"/>
        <v>-1</v>
      </c>
      <c r="J109">
        <f ca="1"/>
        <v>3.5553305828117345</v>
      </c>
      <c r="K109">
        <f ca="1"/>
        <v>0</v>
      </c>
      <c r="L109">
        <f ca="1"/>
        <v>2.5206387342327474</v>
      </c>
    </row>
    <row r="110" spans="2:12" x14ac:dyDescent="0.3">
      <c r="B110">
        <v>0.1</v>
      </c>
      <c r="C110">
        <f ca="1"/>
        <v>-0.13007244173829333</v>
      </c>
      <c r="D110">
        <f ca="1"/>
        <v>1</v>
      </c>
      <c r="E110" s="11">
        <f ca="1"/>
        <v>97.237427860258705</v>
      </c>
      <c r="F110" s="10">
        <f ca="1"/>
        <v>0</v>
      </c>
      <c r="G110" s="7">
        <f ca="1"/>
        <v>0</v>
      </c>
      <c r="H110" s="10">
        <f ca="1"/>
        <v>101.03469184857899</v>
      </c>
      <c r="I110" s="7">
        <f ca="1"/>
        <v>-1</v>
      </c>
      <c r="J110">
        <f ca="1"/>
        <v>3.7972639883202817</v>
      </c>
      <c r="K110">
        <f ca="1"/>
        <v>0</v>
      </c>
      <c r="L110">
        <f ca="1"/>
        <v>2.7625721397412946</v>
      </c>
    </row>
    <row r="111" spans="2:12" x14ac:dyDescent="0.3">
      <c r="B111">
        <v>0.10100000000000001</v>
      </c>
      <c r="C111">
        <f ca="1"/>
        <v>-4.9221444565652139E-2</v>
      </c>
      <c r="D111">
        <f ca="1"/>
        <v>1</v>
      </c>
      <c r="E111">
        <f ca="1"/>
        <v>98.820581424730463</v>
      </c>
      <c r="F111" s="10">
        <f ca="1"/>
        <v>0</v>
      </c>
      <c r="G111" s="7">
        <f ca="1"/>
        <v>0</v>
      </c>
      <c r="H111" s="10">
        <f ca="1"/>
        <v>101.03469184857899</v>
      </c>
      <c r="I111" s="7">
        <f ca="1"/>
        <v>-1</v>
      </c>
      <c r="J111">
        <f ca="1"/>
        <v>2.2141104238485241</v>
      </c>
      <c r="K111">
        <f ca="1"/>
        <v>0</v>
      </c>
      <c r="L111">
        <f ca="1"/>
        <v>1.179418575269537</v>
      </c>
    </row>
    <row r="112" spans="2:12" x14ac:dyDescent="0.3">
      <c r="B112">
        <v>0.10200000000000001</v>
      </c>
      <c r="C112">
        <f ca="1"/>
        <v>-6.8923441624886367E-2</v>
      </c>
      <c r="D112">
        <f ca="1"/>
        <v>1</v>
      </c>
      <c r="E112">
        <f ca="1"/>
        <v>98.42998641882582</v>
      </c>
      <c r="F112" s="10">
        <f ca="1"/>
        <v>0</v>
      </c>
      <c r="G112" s="7">
        <f ca="1"/>
        <v>0</v>
      </c>
      <c r="H112" s="10">
        <f ca="1"/>
        <v>101.03469184857899</v>
      </c>
      <c r="I112" s="7">
        <f ca="1"/>
        <v>-1</v>
      </c>
      <c r="J112">
        <f ca="1"/>
        <v>2.6047054297531673</v>
      </c>
      <c r="K112">
        <f ca="1"/>
        <v>0</v>
      </c>
      <c r="L112">
        <f ca="1"/>
        <v>1.5700135811741802</v>
      </c>
    </row>
    <row r="113" spans="2:12" x14ac:dyDescent="0.3">
      <c r="B113">
        <v>0.10300000000000001</v>
      </c>
      <c r="C113">
        <f ca="1"/>
        <v>-7.0986599800221969E-2</v>
      </c>
      <c r="D113">
        <f ca="1"/>
        <v>1</v>
      </c>
      <c r="E113">
        <f ca="1"/>
        <v>98.387411703110303</v>
      </c>
      <c r="F113" s="10">
        <f ca="1"/>
        <v>0</v>
      </c>
      <c r="G113" s="7">
        <f ca="1"/>
        <v>0</v>
      </c>
      <c r="H113" s="10">
        <f ca="1"/>
        <v>101.03469184857899</v>
      </c>
      <c r="I113" s="7">
        <f ca="1"/>
        <v>-1</v>
      </c>
      <c r="J113">
        <f ca="1"/>
        <v>2.6472801454686845</v>
      </c>
      <c r="K113">
        <f ca="1"/>
        <v>0</v>
      </c>
      <c r="L113">
        <f ca="1"/>
        <v>1.6125882968896974</v>
      </c>
    </row>
    <row r="114" spans="2:12" x14ac:dyDescent="0.3">
      <c r="B114">
        <v>0.10400000000000001</v>
      </c>
      <c r="C114">
        <f ca="1"/>
        <v>-0.11588669105174862</v>
      </c>
      <c r="D114">
        <f ca="1"/>
        <v>1</v>
      </c>
      <c r="E114">
        <f ca="1"/>
        <v>97.505895981221684</v>
      </c>
      <c r="F114" s="10">
        <f ca="1"/>
        <v>0</v>
      </c>
      <c r="G114" s="7">
        <f ca="1"/>
        <v>0</v>
      </c>
      <c r="H114" s="10">
        <f ca="1"/>
        <v>101.03469184857899</v>
      </c>
      <c r="I114" s="7">
        <f ca="1"/>
        <v>-1</v>
      </c>
      <c r="J114">
        <f ca="1"/>
        <v>3.528795867357303</v>
      </c>
      <c r="K114">
        <f ca="1"/>
        <v>0</v>
      </c>
      <c r="L114">
        <f ca="1"/>
        <v>2.4941040187783159</v>
      </c>
    </row>
    <row r="115" spans="2:12" x14ac:dyDescent="0.3">
      <c r="B115">
        <v>0.105</v>
      </c>
      <c r="C115">
        <f ca="1"/>
        <v>-0.12229425501406793</v>
      </c>
      <c r="D115">
        <f ca="1"/>
        <v>1</v>
      </c>
      <c r="E115">
        <f ca="1"/>
        <v>97.37907335879666</v>
      </c>
      <c r="F115" s="10">
        <f ca="1"/>
        <v>0</v>
      </c>
      <c r="G115" s="7">
        <f ca="1"/>
        <v>0</v>
      </c>
      <c r="H115" s="10">
        <f ca="1"/>
        <v>101.03469184857899</v>
      </c>
      <c r="I115" s="7">
        <f ca="1"/>
        <v>-1</v>
      </c>
      <c r="J115">
        <f ca="1"/>
        <v>3.6556184897823272</v>
      </c>
      <c r="K115">
        <f ca="1"/>
        <v>0</v>
      </c>
      <c r="L115">
        <f ca="1"/>
        <v>2.6209266412033401</v>
      </c>
    </row>
    <row r="116" spans="2:12" x14ac:dyDescent="0.3">
      <c r="B116">
        <v>0.106</v>
      </c>
      <c r="C116">
        <f ca="1"/>
        <v>-0.12109351263019395</v>
      </c>
      <c r="D116">
        <f ca="1"/>
        <v>1</v>
      </c>
      <c r="E116">
        <f ca="1"/>
        <v>97.400513573395045</v>
      </c>
      <c r="F116" s="10">
        <f ca="1"/>
        <v>0</v>
      </c>
      <c r="G116" s="7">
        <f ca="1"/>
        <v>0</v>
      </c>
      <c r="H116" s="10">
        <f ca="1"/>
        <v>101.03469184857899</v>
      </c>
      <c r="I116" s="7">
        <f ca="1"/>
        <v>-1</v>
      </c>
      <c r="J116">
        <f ca="1"/>
        <v>3.6341782751839418</v>
      </c>
      <c r="K116">
        <f ca="1"/>
        <v>0</v>
      </c>
      <c r="L116">
        <f ca="1"/>
        <v>2.5994864266049547</v>
      </c>
    </row>
    <row r="117" spans="2:12" x14ac:dyDescent="0.3">
      <c r="B117">
        <v>0.107</v>
      </c>
      <c r="C117">
        <f ca="1"/>
        <v>-6.8910559256874185E-2</v>
      </c>
      <c r="D117">
        <f ca="1"/>
        <v>1</v>
      </c>
      <c r="E117">
        <f ca="1"/>
        <v>98.420397489546872</v>
      </c>
      <c r="F117" s="10">
        <f ca="1"/>
        <v>0</v>
      </c>
      <c r="G117" s="7">
        <f ca="1"/>
        <v>0</v>
      </c>
      <c r="H117" s="10">
        <f ca="1"/>
        <v>101.03469184857899</v>
      </c>
      <c r="I117" s="7">
        <f ca="1"/>
        <v>-1</v>
      </c>
      <c r="J117">
        <f ca="1"/>
        <v>2.6142943590321153</v>
      </c>
      <c r="K117">
        <f ca="1"/>
        <v>0</v>
      </c>
      <c r="L117">
        <f ca="1"/>
        <v>1.5796025104531282</v>
      </c>
    </row>
    <row r="118" spans="2:12" x14ac:dyDescent="0.3">
      <c r="B118">
        <v>0.108</v>
      </c>
      <c r="C118">
        <f ca="1"/>
        <v>-4.5600893749913177E-2</v>
      </c>
      <c r="D118">
        <f ca="1"/>
        <v>1</v>
      </c>
      <c r="E118">
        <f ca="1"/>
        <v>98.87832039198598</v>
      </c>
      <c r="F118" s="10">
        <f ca="1"/>
        <v>0</v>
      </c>
      <c r="G118" s="7">
        <f ca="1"/>
        <v>0</v>
      </c>
      <c r="H118" s="10">
        <f ca="1"/>
        <v>101.03469184857899</v>
      </c>
      <c r="I118" s="7">
        <f ca="1"/>
        <v>-1</v>
      </c>
      <c r="J118">
        <f ca="1"/>
        <v>2.156371456593007</v>
      </c>
      <c r="K118">
        <f ca="1"/>
        <v>0</v>
      </c>
      <c r="L118">
        <f ca="1"/>
        <v>1.1216796080140199</v>
      </c>
    </row>
    <row r="119" spans="2:12" x14ac:dyDescent="0.3">
      <c r="B119">
        <v>0.109</v>
      </c>
      <c r="C119">
        <f ca="1"/>
        <v>-8.7814115519305208E-2</v>
      </c>
      <c r="D119">
        <f ca="1"/>
        <v>1</v>
      </c>
      <c r="E119">
        <f ca="1"/>
        <v>98.045079017708332</v>
      </c>
      <c r="F119" s="10">
        <f ca="1"/>
        <v>0</v>
      </c>
      <c r="G119" s="7">
        <f ca="1"/>
        <v>0</v>
      </c>
      <c r="H119" s="10">
        <f ca="1"/>
        <v>101.03469184857899</v>
      </c>
      <c r="I119" s="7">
        <f ca="1"/>
        <v>-1</v>
      </c>
      <c r="J119">
        <f ca="1"/>
        <v>2.9896128308706551</v>
      </c>
      <c r="K119">
        <f ca="1"/>
        <v>0</v>
      </c>
      <c r="L119">
        <f ca="1"/>
        <v>1.954920982291668</v>
      </c>
    </row>
    <row r="120" spans="2:12" x14ac:dyDescent="0.3">
      <c r="B120">
        <v>0.11</v>
      </c>
      <c r="C120">
        <f ca="1"/>
        <v>-4.7922306663952211E-2</v>
      </c>
      <c r="D120">
        <f ca="1"/>
        <v>1</v>
      </c>
      <c r="E120">
        <f ca="1"/>
        <v>98.828470347506013</v>
      </c>
      <c r="F120" s="10">
        <f ca="1"/>
        <v>0</v>
      </c>
      <c r="G120" s="7">
        <f ca="1"/>
        <v>0</v>
      </c>
      <c r="H120" s="10">
        <f ca="1"/>
        <v>101.03469184857899</v>
      </c>
      <c r="I120" s="7">
        <f ca="1"/>
        <v>-1</v>
      </c>
      <c r="J120">
        <f ca="1"/>
        <v>2.2062215010729744</v>
      </c>
      <c r="K120">
        <f ca="1"/>
        <v>0</v>
      </c>
      <c r="L120">
        <f ca="1"/>
        <v>1.1715296524939873</v>
      </c>
    </row>
    <row r="121" spans="2:12" x14ac:dyDescent="0.3">
      <c r="B121">
        <v>0.111</v>
      </c>
      <c r="C121">
        <f ca="1"/>
        <v>-4.2554663155410601E-2</v>
      </c>
      <c r="D121">
        <f ca="1"/>
        <v>1</v>
      </c>
      <c r="E121">
        <f ca="1"/>
        <v>98.932643842811302</v>
      </c>
      <c r="F121" s="10">
        <f ca="1"/>
        <v>0</v>
      </c>
      <c r="G121" s="7">
        <f ca="1"/>
        <v>0</v>
      </c>
      <c r="H121" s="10">
        <f ca="1"/>
        <v>101.03469184857899</v>
      </c>
      <c r="I121" s="7">
        <f ca="1"/>
        <v>-1</v>
      </c>
      <c r="J121">
        <f ca="1"/>
        <v>2.1020480057676849</v>
      </c>
      <c r="K121">
        <f ca="1"/>
        <v>0</v>
      </c>
      <c r="L121">
        <f ca="1"/>
        <v>1.0673561571886978</v>
      </c>
    </row>
    <row r="122" spans="2:12" x14ac:dyDescent="0.3">
      <c r="B122">
        <v>0.112</v>
      </c>
      <c r="C122">
        <f ca="1"/>
        <v>-6.4008583507599387E-2</v>
      </c>
      <c r="D122">
        <f ca="1"/>
        <v>1</v>
      </c>
      <c r="E122">
        <f ca="1"/>
        <v>98.507084483948944</v>
      </c>
      <c r="F122" s="10">
        <f ca="1"/>
        <v>0</v>
      </c>
      <c r="G122" s="7">
        <f ca="1"/>
        <v>0</v>
      </c>
      <c r="H122" s="10">
        <f ca="1"/>
        <v>101.03469184857899</v>
      </c>
      <c r="I122" s="7">
        <f ca="1"/>
        <v>-1</v>
      </c>
      <c r="J122">
        <f ca="1"/>
        <v>2.5276073646300432</v>
      </c>
      <c r="K122">
        <f ca="1"/>
        <v>0</v>
      </c>
      <c r="L122">
        <f ca="1"/>
        <v>1.4929155160510561</v>
      </c>
    </row>
    <row r="123" spans="2:12" x14ac:dyDescent="0.3">
      <c r="B123">
        <v>0.113</v>
      </c>
      <c r="C123">
        <f ca="1"/>
        <v>-8.6737066853804806E-2</v>
      </c>
      <c r="D123">
        <f ca="1"/>
        <v>1</v>
      </c>
      <c r="E123">
        <f ca="1"/>
        <v>98.058356174597748</v>
      </c>
      <c r="F123" s="10">
        <f ca="1"/>
        <v>0</v>
      </c>
      <c r="G123" s="7">
        <f ca="1"/>
        <v>0</v>
      </c>
      <c r="H123" s="10">
        <f ca="1"/>
        <v>101.03469184857899</v>
      </c>
      <c r="I123" s="7">
        <f ca="1"/>
        <v>-1</v>
      </c>
      <c r="J123">
        <f ca="1"/>
        <v>2.9763356739812394</v>
      </c>
      <c r="K123">
        <f ca="1"/>
        <v>0</v>
      </c>
      <c r="L123">
        <f ca="1"/>
        <v>1.9416438254022523</v>
      </c>
    </row>
    <row r="124" spans="2:12" x14ac:dyDescent="0.3">
      <c r="B124">
        <v>0.114</v>
      </c>
      <c r="C124">
        <f ca="1"/>
        <v>-6.7053990431777094E-2</v>
      </c>
      <c r="D124">
        <f ca="1"/>
        <v>1</v>
      </c>
      <c r="E124">
        <f ca="1"/>
        <v>98.443166115491664</v>
      </c>
      <c r="F124" s="10">
        <f ca="1"/>
        <v>0</v>
      </c>
      <c r="G124" s="7">
        <f ca="1"/>
        <v>0</v>
      </c>
      <c r="H124" s="10">
        <f ca="1"/>
        <v>101.03469184857899</v>
      </c>
      <c r="I124" s="7">
        <f ca="1"/>
        <v>-1</v>
      </c>
      <c r="J124">
        <f ca="1"/>
        <v>2.5915257330873231</v>
      </c>
      <c r="K124">
        <f ca="1"/>
        <v>0</v>
      </c>
      <c r="L124">
        <f ca="1"/>
        <v>1.556833884508336</v>
      </c>
    </row>
    <row r="125" spans="2:12" x14ac:dyDescent="0.3">
      <c r="B125">
        <v>0.115</v>
      </c>
      <c r="C125">
        <f ca="1"/>
        <v>-7.3146768476658311E-2</v>
      </c>
      <c r="D125">
        <f ca="1"/>
        <v>1</v>
      </c>
      <c r="E125">
        <f ca="1"/>
        <v>98.321314255663097</v>
      </c>
      <c r="F125" s="10">
        <f ca="1"/>
        <v>0</v>
      </c>
      <c r="G125" s="7">
        <f ca="1"/>
        <v>0</v>
      </c>
      <c r="H125" s="10">
        <f ca="1"/>
        <v>101.03469184857899</v>
      </c>
      <c r="I125" s="7">
        <f ca="1"/>
        <v>-1</v>
      </c>
      <c r="J125">
        <f ca="1"/>
        <v>2.7133775929158901</v>
      </c>
      <c r="K125">
        <f ca="1"/>
        <v>0</v>
      </c>
      <c r="L125">
        <f ca="1"/>
        <v>1.678685744336903</v>
      </c>
    </row>
    <row r="126" spans="2:12" x14ac:dyDescent="0.3">
      <c r="B126">
        <v>0.11600000000000001</v>
      </c>
      <c r="C126">
        <f ca="1"/>
        <v>-4.0852983357734185E-2</v>
      </c>
      <c r="D126">
        <f ca="1"/>
        <v>1</v>
      </c>
      <c r="E126">
        <f ca="1"/>
        <v>98.956423772170226</v>
      </c>
      <c r="F126" s="10">
        <f ca="1"/>
        <v>0</v>
      </c>
      <c r="G126" s="7">
        <f ca="1"/>
        <v>0</v>
      </c>
      <c r="H126" s="10">
        <f ca="1"/>
        <v>101.03469184857899</v>
      </c>
      <c r="I126" s="7">
        <f ca="1"/>
        <v>-1</v>
      </c>
      <c r="J126">
        <f ca="1"/>
        <v>2.0782680764087615</v>
      </c>
      <c r="K126">
        <f ca="1"/>
        <v>0</v>
      </c>
      <c r="L126">
        <f ca="1"/>
        <v>1.0435762278297744</v>
      </c>
    </row>
    <row r="127" spans="2:12" x14ac:dyDescent="0.3">
      <c r="B127">
        <v>0.11700000000000001</v>
      </c>
      <c r="C127">
        <f ca="1"/>
        <v>-5.797328185980069E-2</v>
      </c>
      <c r="D127">
        <f ca="1"/>
        <v>1</v>
      </c>
      <c r="E127">
        <f ca="1"/>
        <v>98.616198155926568</v>
      </c>
      <c r="F127" s="10">
        <f ca="1"/>
        <v>0</v>
      </c>
      <c r="G127" s="7">
        <f ca="1"/>
        <v>0</v>
      </c>
      <c r="H127" s="10">
        <f ca="1"/>
        <v>101.03469184857899</v>
      </c>
      <c r="I127" s="7">
        <f ca="1"/>
        <v>-1</v>
      </c>
      <c r="J127">
        <f ca="1"/>
        <v>2.4184936926524188</v>
      </c>
      <c r="K127">
        <f ca="1"/>
        <v>0</v>
      </c>
      <c r="L127">
        <f ca="1"/>
        <v>1.3838018440734317</v>
      </c>
    </row>
    <row r="128" spans="2:12" x14ac:dyDescent="0.3">
      <c r="B128">
        <v>0.11800000000000001</v>
      </c>
      <c r="C128">
        <f ca="1"/>
        <v>-1.6193866664305563E-2</v>
      </c>
      <c r="D128">
        <f ca="1"/>
        <v>1</v>
      </c>
      <c r="E128">
        <f ca="1"/>
        <v>99.441687058934718</v>
      </c>
      <c r="F128" s="10">
        <f ca="1"/>
        <v>0</v>
      </c>
      <c r="G128" s="7">
        <f ca="1"/>
        <v>0</v>
      </c>
      <c r="H128" s="10">
        <f ca="1"/>
        <v>101.03469184857899</v>
      </c>
      <c r="I128" s="7">
        <f ca="1"/>
        <v>-1</v>
      </c>
      <c r="J128">
        <f ca="1"/>
        <v>1.5930047896442687</v>
      </c>
      <c r="K128">
        <f ca="1"/>
        <v>0</v>
      </c>
      <c r="L128">
        <f ca="1"/>
        <v>0.55831294106528162</v>
      </c>
    </row>
    <row r="129" spans="2:12" x14ac:dyDescent="0.3">
      <c r="B129">
        <v>0.11900000000000001</v>
      </c>
      <c r="C129">
        <f ca="1"/>
        <v>2.1922037815205485E-2</v>
      </c>
      <c r="D129">
        <f ca="1"/>
        <v>1</v>
      </c>
      <c r="E129">
        <f ca="1"/>
        <v>100.20064177307214</v>
      </c>
      <c r="F129" s="10">
        <f ca="1"/>
        <v>-100.20064177307214</v>
      </c>
      <c r="G129" s="7">
        <f ca="1"/>
        <v>1</v>
      </c>
      <c r="H129" s="10">
        <f ca="1"/>
        <v>0.83405007550685184</v>
      </c>
      <c r="I129" s="7">
        <f ca="1"/>
        <v>0</v>
      </c>
      <c r="J129">
        <f ca="1"/>
        <v>0.83405007550685184</v>
      </c>
      <c r="K129">
        <f ca="1"/>
        <v>0</v>
      </c>
      <c r="L129">
        <f ca="1"/>
        <v>0</v>
      </c>
    </row>
    <row r="130" spans="2:12" x14ac:dyDescent="0.3">
      <c r="B130">
        <v>0.12</v>
      </c>
      <c r="C130">
        <f ca="1"/>
        <v>6.2775310853056585E-2</v>
      </c>
      <c r="D130">
        <f ca="1"/>
        <v>1</v>
      </c>
      <c r="E130">
        <f ca="1"/>
        <v>101.02067997990929</v>
      </c>
      <c r="F130" s="10">
        <f ca="1"/>
        <v>0</v>
      </c>
      <c r="G130" s="7">
        <f ca="1"/>
        <v>0</v>
      </c>
      <c r="H130" s="10">
        <f ca="1"/>
        <v>0.83405007550685184</v>
      </c>
      <c r="I130" s="7">
        <f ca="1"/>
        <v>0</v>
      </c>
      <c r="J130">
        <f ca="1"/>
        <v>0.83405007550685184</v>
      </c>
      <c r="K130">
        <f ca="1"/>
        <v>0</v>
      </c>
      <c r="L130">
        <f ca="1"/>
        <v>0</v>
      </c>
    </row>
    <row r="131" spans="2:12" x14ac:dyDescent="0.3">
      <c r="B131">
        <v>0.121</v>
      </c>
      <c r="C131">
        <f ca="1"/>
        <v>7.9755204611568542E-2</v>
      </c>
      <c r="D131">
        <f ca="1"/>
        <v>1</v>
      </c>
      <c r="E131">
        <f ca="1"/>
        <v>101.36229997546693</v>
      </c>
      <c r="F131" s="10">
        <f ca="1"/>
        <v>0</v>
      </c>
      <c r="G131" s="7">
        <f ca="1"/>
        <v>0</v>
      </c>
      <c r="H131" s="10">
        <f ca="1"/>
        <v>0.83405007550685184</v>
      </c>
      <c r="I131" s="7">
        <f ca="1"/>
        <v>0</v>
      </c>
      <c r="J131">
        <f ca="1"/>
        <v>0.83405007550685184</v>
      </c>
      <c r="K131">
        <f ca="1"/>
        <v>0</v>
      </c>
      <c r="L131">
        <f ca="1"/>
        <v>0</v>
      </c>
    </row>
    <row r="132" spans="2:12" x14ac:dyDescent="0.3">
      <c r="B132">
        <v>0.122</v>
      </c>
      <c r="C132">
        <f ca="1"/>
        <v>8.0283271869498921E-2</v>
      </c>
      <c r="D132">
        <f ca="1"/>
        <v>1</v>
      </c>
      <c r="E132">
        <f ca="1"/>
        <v>101.3709783233149</v>
      </c>
      <c r="F132" s="10">
        <f ca="1"/>
        <v>0</v>
      </c>
      <c r="G132" s="7">
        <f ca="1"/>
        <v>0</v>
      </c>
      <c r="H132" s="10">
        <f ca="1"/>
        <v>0.83405007550685184</v>
      </c>
      <c r="I132" s="7">
        <f ca="1"/>
        <v>0</v>
      </c>
      <c r="J132">
        <f ca="1"/>
        <v>0.83405007550685184</v>
      </c>
      <c r="K132">
        <f ca="1"/>
        <v>0</v>
      </c>
      <c r="L132">
        <f ca="1"/>
        <v>0</v>
      </c>
    </row>
    <row r="133" spans="2:12" x14ac:dyDescent="0.3">
      <c r="B133">
        <v>0.123</v>
      </c>
      <c r="C133">
        <f ca="1"/>
        <v>0.10706019855950012</v>
      </c>
      <c r="D133">
        <f ca="1"/>
        <v>1</v>
      </c>
      <c r="E133">
        <f ca="1"/>
        <v>101.91327695440506</v>
      </c>
      <c r="F133" s="10">
        <f ca="1"/>
        <v>0</v>
      </c>
      <c r="G133" s="7">
        <f ca="1"/>
        <v>0</v>
      </c>
      <c r="H133" s="10">
        <f ca="1"/>
        <v>0.83405007550685184</v>
      </c>
      <c r="I133" s="7">
        <f ca="1"/>
        <v>0</v>
      </c>
      <c r="J133">
        <f ca="1"/>
        <v>0.83405007550685184</v>
      </c>
      <c r="K133">
        <f ca="1"/>
        <v>0</v>
      </c>
      <c r="L133">
        <f ca="1"/>
        <v>0</v>
      </c>
    </row>
    <row r="134" spans="2:12" x14ac:dyDescent="0.3">
      <c r="B134">
        <v>0.124</v>
      </c>
      <c r="C134">
        <f ca="1"/>
        <v>0.10733303473191602</v>
      </c>
      <c r="D134">
        <f ca="1"/>
        <v>1</v>
      </c>
      <c r="E134">
        <f ca="1"/>
        <v>101.91679987543496</v>
      </c>
      <c r="F134" s="10">
        <f ca="1"/>
        <v>0</v>
      </c>
      <c r="G134" s="7">
        <f ca="1"/>
        <v>0</v>
      </c>
      <c r="H134" s="10">
        <f ca="1"/>
        <v>0.83405007550685184</v>
      </c>
      <c r="I134" s="7">
        <f ca="1"/>
        <v>0</v>
      </c>
      <c r="J134">
        <f ca="1"/>
        <v>0.83405007550685184</v>
      </c>
      <c r="K134">
        <f ca="1"/>
        <v>0</v>
      </c>
      <c r="L134">
        <f ca="1"/>
        <v>0</v>
      </c>
    </row>
    <row r="135" spans="2:12" x14ac:dyDescent="0.3">
      <c r="B135">
        <v>0.125</v>
      </c>
      <c r="C135">
        <f ca="1"/>
        <v>9.7558623632282904E-2</v>
      </c>
      <c r="D135">
        <f ca="1"/>
        <v>1</v>
      </c>
      <c r="E135">
        <f ca="1"/>
        <v>101.71572481458249</v>
      </c>
      <c r="F135" s="10">
        <f ca="1"/>
        <v>0</v>
      </c>
      <c r="G135" s="7">
        <f ca="1"/>
        <v>0</v>
      </c>
      <c r="H135" s="10">
        <f ca="1"/>
        <v>0.83405007550685184</v>
      </c>
      <c r="I135" s="7">
        <f ca="1"/>
        <v>0</v>
      </c>
      <c r="J135">
        <f ca="1"/>
        <v>0.83405007550685184</v>
      </c>
      <c r="K135">
        <f ca="1"/>
        <v>0</v>
      </c>
      <c r="L135">
        <f ca="1"/>
        <v>0</v>
      </c>
    </row>
    <row r="136" spans="2:12" x14ac:dyDescent="0.3">
      <c r="B136">
        <v>0.126</v>
      </c>
      <c r="C136">
        <f ca="1"/>
        <v>6.1183046880852465E-2</v>
      </c>
      <c r="D136">
        <f ca="1"/>
        <v>1</v>
      </c>
      <c r="E136">
        <f ca="1"/>
        <v>100.97639688920765</v>
      </c>
      <c r="F136" s="10">
        <f ca="1"/>
        <v>0</v>
      </c>
      <c r="G136" s="7">
        <f ca="1"/>
        <v>0</v>
      </c>
      <c r="H136" s="10">
        <f ca="1"/>
        <v>0.83405007550685184</v>
      </c>
      <c r="I136" s="7">
        <f ca="1"/>
        <v>0</v>
      </c>
      <c r="J136">
        <f ca="1"/>
        <v>0.83405007550685184</v>
      </c>
      <c r="K136">
        <f ca="1"/>
        <v>0</v>
      </c>
      <c r="L136">
        <f ca="1"/>
        <v>0</v>
      </c>
    </row>
    <row r="137" spans="2:12" x14ac:dyDescent="0.3">
      <c r="B137">
        <v>0.127</v>
      </c>
      <c r="C137">
        <f ca="1"/>
        <v>6.0974890102251954E-2</v>
      </c>
      <c r="D137">
        <f ca="1"/>
        <v>1</v>
      </c>
      <c r="E137">
        <f ca="1"/>
        <v>100.97017376874329</v>
      </c>
      <c r="F137" s="10">
        <f ca="1"/>
        <v>0</v>
      </c>
      <c r="G137" s="7">
        <f ca="1"/>
        <v>0</v>
      </c>
      <c r="H137" s="10">
        <f ca="1"/>
        <v>0.83405007550685184</v>
      </c>
      <c r="I137" s="7">
        <f ca="1"/>
        <v>0</v>
      </c>
      <c r="J137">
        <f ca="1"/>
        <v>0.83405007550685184</v>
      </c>
      <c r="K137">
        <f ca="1"/>
        <v>0</v>
      </c>
      <c r="L137">
        <f ca="1"/>
        <v>0</v>
      </c>
    </row>
    <row r="138" spans="2:12" x14ac:dyDescent="0.3">
      <c r="B138">
        <v>0.128</v>
      </c>
      <c r="C138">
        <f ca="1"/>
        <v>0.10903812032894178</v>
      </c>
      <c r="D138">
        <f ca="1"/>
        <v>1</v>
      </c>
      <c r="E138">
        <f ca="1"/>
        <v>101.94340537705209</v>
      </c>
      <c r="F138" s="10">
        <f ca="1"/>
        <v>0</v>
      </c>
      <c r="G138" s="7">
        <f ca="1"/>
        <v>0</v>
      </c>
      <c r="H138" s="10">
        <f ca="1"/>
        <v>0.83405007550685184</v>
      </c>
      <c r="I138" s="7">
        <f ca="1"/>
        <v>0</v>
      </c>
      <c r="J138">
        <f ca="1"/>
        <v>0.83405007550685184</v>
      </c>
      <c r="K138">
        <f ca="1"/>
        <v>0</v>
      </c>
      <c r="L138">
        <f ca="1"/>
        <v>0</v>
      </c>
    </row>
    <row r="139" spans="2:12" x14ac:dyDescent="0.3">
      <c r="B139">
        <v>0.129</v>
      </c>
      <c r="C139">
        <f ca="1"/>
        <v>0.2032268781196313</v>
      </c>
      <c r="D139">
        <f ca="1"/>
        <v>1</v>
      </c>
      <c r="E139">
        <f ca="1"/>
        <v>103.87991428007415</v>
      </c>
      <c r="F139" s="10">
        <f ca="1"/>
        <v>0</v>
      </c>
      <c r="G139" s="7">
        <f ca="1"/>
        <v>0</v>
      </c>
      <c r="H139" s="10">
        <f ca="1"/>
        <v>0.83405007550685184</v>
      </c>
      <c r="I139" s="7">
        <f ca="1"/>
        <v>0</v>
      </c>
      <c r="J139">
        <f ca="1"/>
        <v>0.83405007550685184</v>
      </c>
      <c r="K139">
        <f ca="1"/>
        <v>0</v>
      </c>
      <c r="L139">
        <f ca="1"/>
        <v>0</v>
      </c>
    </row>
    <row r="140" spans="2:12" x14ac:dyDescent="0.3">
      <c r="B140">
        <v>0.13</v>
      </c>
      <c r="C140">
        <f ca="1"/>
        <v>0.21723185515211654</v>
      </c>
      <c r="D140">
        <f ca="1"/>
        <v>1</v>
      </c>
      <c r="E140">
        <f ca="1"/>
        <v>104.16920591742476</v>
      </c>
      <c r="F140" s="10">
        <f ca="1"/>
        <v>0</v>
      </c>
      <c r="G140" s="7">
        <f ca="1"/>
        <v>0</v>
      </c>
      <c r="H140" s="10">
        <f ca="1"/>
        <v>0.83405007550685184</v>
      </c>
      <c r="I140" s="7">
        <f ca="1"/>
        <v>0</v>
      </c>
      <c r="J140">
        <f ca="1"/>
        <v>0.83405007550685184</v>
      </c>
      <c r="K140">
        <f ca="1"/>
        <v>0</v>
      </c>
      <c r="L140">
        <f ca="1"/>
        <v>0</v>
      </c>
    </row>
    <row r="141" spans="2:12" x14ac:dyDescent="0.3">
      <c r="B141">
        <v>0.13100000000000001</v>
      </c>
      <c r="C141">
        <f ca="1"/>
        <v>0.22936328439799186</v>
      </c>
      <c r="D141">
        <f ca="1"/>
        <v>1</v>
      </c>
      <c r="E141">
        <f ca="1"/>
        <v>104.42016862645744</v>
      </c>
      <c r="F141" s="10">
        <f ca="1"/>
        <v>0</v>
      </c>
      <c r="G141" s="7">
        <f ca="1"/>
        <v>0</v>
      </c>
      <c r="H141" s="10">
        <f ca="1"/>
        <v>0.83405007550685184</v>
      </c>
      <c r="I141" s="7">
        <f ca="1"/>
        <v>0</v>
      </c>
      <c r="J141">
        <f ca="1"/>
        <v>0.83405007550685184</v>
      </c>
      <c r="K141">
        <f ca="1"/>
        <v>0</v>
      </c>
      <c r="L141">
        <f ca="1"/>
        <v>0</v>
      </c>
    </row>
    <row r="142" spans="2:12" x14ac:dyDescent="0.3">
      <c r="B142">
        <v>0.13200000000000001</v>
      </c>
      <c r="C142">
        <f ca="1"/>
        <v>0.21826005501701068</v>
      </c>
      <c r="D142">
        <f ca="1"/>
        <v>1</v>
      </c>
      <c r="E142">
        <f ca="1"/>
        <v>104.18646193098151</v>
      </c>
      <c r="F142" s="10">
        <f ca="1"/>
        <v>0</v>
      </c>
      <c r="G142" s="7">
        <f ca="1"/>
        <v>0</v>
      </c>
      <c r="H142" s="10">
        <f ca="1"/>
        <v>0.83405007550685184</v>
      </c>
      <c r="I142" s="7">
        <f ca="1"/>
        <v>0</v>
      </c>
      <c r="J142">
        <f ca="1"/>
        <v>0.83405007550685184</v>
      </c>
      <c r="K142">
        <f ca="1"/>
        <v>0</v>
      </c>
      <c r="L142">
        <f ca="1"/>
        <v>0</v>
      </c>
    </row>
    <row r="143" spans="2:12" x14ac:dyDescent="0.3">
      <c r="B143">
        <v>0.13300000000000001</v>
      </c>
      <c r="C143">
        <f ca="1"/>
        <v>0.2089438729344249</v>
      </c>
      <c r="D143">
        <f ca="1"/>
        <v>1</v>
      </c>
      <c r="E143">
        <f ca="1"/>
        <v>103.99043882862171</v>
      </c>
      <c r="F143" s="10">
        <f ca="1"/>
        <v>0</v>
      </c>
      <c r="G143" s="7">
        <f ca="1"/>
        <v>0</v>
      </c>
      <c r="H143">
        <f ca="1"/>
        <v>0.83405007550685184</v>
      </c>
      <c r="I143" s="7">
        <f ca="1"/>
        <v>0</v>
      </c>
      <c r="J143">
        <f ca="1"/>
        <v>0.83405007550685184</v>
      </c>
      <c r="K143">
        <f ca="1"/>
        <v>0</v>
      </c>
      <c r="L143">
        <f ca="1"/>
        <v>0</v>
      </c>
    </row>
    <row r="144" spans="2:12" x14ac:dyDescent="0.3">
      <c r="B144">
        <v>0.13400000000000001</v>
      </c>
      <c r="C144">
        <f ca="1"/>
        <v>0.22464940723262086</v>
      </c>
      <c r="D144">
        <f ca="1"/>
        <v>1</v>
      </c>
      <c r="E144">
        <f ca="1"/>
        <v>104.31551112939479</v>
      </c>
      <c r="F144" s="10">
        <f ca="1"/>
        <v>0</v>
      </c>
      <c r="G144" s="7">
        <f ca="1"/>
        <v>0</v>
      </c>
      <c r="H144">
        <f ca="1"/>
        <v>0.83405007550685184</v>
      </c>
      <c r="I144" s="7">
        <f ca="1"/>
        <v>0</v>
      </c>
      <c r="J144">
        <f ca="1"/>
        <v>0.83405007550685184</v>
      </c>
      <c r="K144">
        <f ca="1"/>
        <v>0</v>
      </c>
      <c r="L144">
        <f ca="1"/>
        <v>0</v>
      </c>
    </row>
    <row r="145" spans="2:12" x14ac:dyDescent="0.3">
      <c r="B145">
        <v>0.13500000000000001</v>
      </c>
      <c r="C145">
        <f ca="1"/>
        <v>0.1690508807131558</v>
      </c>
      <c r="D145">
        <f ca="1"/>
        <v>1</v>
      </c>
      <c r="E145">
        <f ca="1"/>
        <v>103.15991552412397</v>
      </c>
      <c r="F145" s="10">
        <f ca="1"/>
        <v>0</v>
      </c>
      <c r="G145" s="7">
        <f ca="1"/>
        <v>0</v>
      </c>
      <c r="H145">
        <f ca="1"/>
        <v>0.83405007550685184</v>
      </c>
      <c r="I145" s="7">
        <f ca="1"/>
        <v>0</v>
      </c>
      <c r="J145">
        <f ca="1"/>
        <v>0.83405007550685184</v>
      </c>
      <c r="K145">
        <f ca="1"/>
        <v>0</v>
      </c>
      <c r="L145">
        <f ca="1"/>
        <v>0</v>
      </c>
    </row>
    <row r="146" spans="2:12" x14ac:dyDescent="0.3">
      <c r="B146">
        <v>0.13600000000000001</v>
      </c>
      <c r="C146">
        <f ca="1"/>
        <v>0.14991382626912478</v>
      </c>
      <c r="D146">
        <f ca="1"/>
        <v>1</v>
      </c>
      <c r="E146">
        <f ca="1"/>
        <v>102.7637794795663</v>
      </c>
      <c r="F146" s="10">
        <f ca="1"/>
        <v>0</v>
      </c>
      <c r="G146" s="7">
        <f ca="1"/>
        <v>0</v>
      </c>
      <c r="H146">
        <f ca="1"/>
        <v>0.83405007550685184</v>
      </c>
      <c r="I146" s="7">
        <f ca="1"/>
        <v>0</v>
      </c>
      <c r="J146">
        <f ca="1"/>
        <v>0.83405007550685184</v>
      </c>
      <c r="K146">
        <f ca="1"/>
        <v>0</v>
      </c>
      <c r="L146">
        <f ca="1"/>
        <v>0</v>
      </c>
    </row>
    <row r="147" spans="2:12" x14ac:dyDescent="0.3">
      <c r="B147">
        <v>0.13700000000000001</v>
      </c>
      <c r="C147">
        <f ca="1"/>
        <v>0.10540907308641816</v>
      </c>
      <c r="D147">
        <f ca="1"/>
        <v>1</v>
      </c>
      <c r="E147">
        <f ca="1"/>
        <v>101.85110588643506</v>
      </c>
      <c r="F147" s="10">
        <f ca="1"/>
        <v>0</v>
      </c>
      <c r="G147" s="7">
        <f ca="1"/>
        <v>0</v>
      </c>
      <c r="H147">
        <f ca="1"/>
        <v>0.83405007550685184</v>
      </c>
      <c r="I147" s="7">
        <f ca="1"/>
        <v>0</v>
      </c>
      <c r="J147">
        <f ca="1"/>
        <v>0.83405007550685184</v>
      </c>
      <c r="K147">
        <f ca="1"/>
        <v>0</v>
      </c>
      <c r="L147">
        <f ca="1"/>
        <v>0</v>
      </c>
    </row>
    <row r="148" spans="2:12" x14ac:dyDescent="0.3">
      <c r="B148">
        <v>0.13800000000000001</v>
      </c>
      <c r="C148">
        <f ca="1"/>
        <v>7.5429757557390037E-2</v>
      </c>
      <c r="D148">
        <f ca="1"/>
        <v>1</v>
      </c>
      <c r="E148">
        <f ca="1"/>
        <v>101.24022291277011</v>
      </c>
      <c r="F148" s="10">
        <f ca="1"/>
        <v>0</v>
      </c>
      <c r="G148" s="7">
        <f ca="1"/>
        <v>0</v>
      </c>
      <c r="H148">
        <f ca="1"/>
        <v>0.83405007550685184</v>
      </c>
      <c r="I148" s="7">
        <f ca="1"/>
        <v>0</v>
      </c>
      <c r="J148">
        <f ca="1"/>
        <v>0.83405007550685184</v>
      </c>
      <c r="K148">
        <f ca="1"/>
        <v>0</v>
      </c>
      <c r="L148">
        <f ca="1"/>
        <v>0</v>
      </c>
    </row>
    <row r="149" spans="2:12" x14ac:dyDescent="0.3">
      <c r="B149">
        <v>0.13900000000000001</v>
      </c>
      <c r="C149">
        <f ca="1"/>
        <v>7.4000379019955542E-2</v>
      </c>
      <c r="D149">
        <f ca="1"/>
        <v>1</v>
      </c>
      <c r="E149">
        <f ca="1"/>
        <v>101.2092607234927</v>
      </c>
      <c r="F149" s="10">
        <f ca="1"/>
        <v>0</v>
      </c>
      <c r="G149" s="7">
        <f ca="1"/>
        <v>0</v>
      </c>
      <c r="H149">
        <f ca="1"/>
        <v>0.83405007550685184</v>
      </c>
      <c r="I149" s="7">
        <f ca="1"/>
        <v>0</v>
      </c>
      <c r="J149">
        <f ca="1"/>
        <v>0.83405007550685184</v>
      </c>
      <c r="K149">
        <f ca="1"/>
        <v>0</v>
      </c>
      <c r="L149">
        <f ca="1"/>
        <v>0</v>
      </c>
    </row>
    <row r="150" spans="2:12" x14ac:dyDescent="0.3">
      <c r="B150">
        <v>0.14000000000000001</v>
      </c>
      <c r="C150">
        <f ca="1"/>
        <v>0.10756635888858279</v>
      </c>
      <c r="D150">
        <f ca="1"/>
        <v>1</v>
      </c>
      <c r="E150">
        <f ca="1"/>
        <v>101.888946236614</v>
      </c>
      <c r="F150" s="10">
        <f ca="1"/>
        <v>0</v>
      </c>
      <c r="G150" s="7">
        <f ca="1"/>
        <v>0</v>
      </c>
      <c r="H150">
        <f ca="1"/>
        <v>0.83405007550685184</v>
      </c>
      <c r="I150" s="7">
        <f ca="1"/>
        <v>0</v>
      </c>
      <c r="J150">
        <f ca="1"/>
        <v>0.83405007550685184</v>
      </c>
      <c r="K150">
        <f ca="1"/>
        <v>0</v>
      </c>
      <c r="L150">
        <f ca="1"/>
        <v>0</v>
      </c>
    </row>
    <row r="151" spans="2:12" x14ac:dyDescent="0.3">
      <c r="B151">
        <v>0.14100000000000001</v>
      </c>
      <c r="C151">
        <f ca="1"/>
        <v>0.14456351039182491</v>
      </c>
      <c r="D151">
        <f ca="1"/>
        <v>1</v>
      </c>
      <c r="E151">
        <f ca="1"/>
        <v>102.64360968226333</v>
      </c>
      <c r="F151" s="10">
        <f ca="1"/>
        <v>0</v>
      </c>
      <c r="G151" s="7">
        <f ca="1"/>
        <v>0</v>
      </c>
      <c r="H151">
        <f ca="1"/>
        <v>0.83405007550685184</v>
      </c>
      <c r="I151" s="7">
        <f ca="1"/>
        <v>0</v>
      </c>
      <c r="J151">
        <f ca="1"/>
        <v>0.83405007550685184</v>
      </c>
      <c r="K151">
        <f ca="1"/>
        <v>0</v>
      </c>
      <c r="L151">
        <f ca="1"/>
        <v>0</v>
      </c>
    </row>
    <row r="152" spans="2:12" x14ac:dyDescent="0.3">
      <c r="B152">
        <v>0.14200000000000002</v>
      </c>
      <c r="C152">
        <f ca="1"/>
        <v>0.15179437427696926</v>
      </c>
      <c r="D152">
        <f ca="1"/>
        <v>1</v>
      </c>
      <c r="E152">
        <f ca="1"/>
        <v>102.79010164071975</v>
      </c>
      <c r="F152" s="10">
        <f ca="1"/>
        <v>0</v>
      </c>
      <c r="G152" s="7">
        <f ca="1"/>
        <v>0</v>
      </c>
      <c r="H152">
        <f ca="1"/>
        <v>0.83405007550685184</v>
      </c>
      <c r="I152" s="7">
        <f ca="1"/>
        <v>0</v>
      </c>
      <c r="J152">
        <f ca="1"/>
        <v>0.83405007550685184</v>
      </c>
      <c r="K152">
        <f ca="1"/>
        <v>0</v>
      </c>
      <c r="L152">
        <f ca="1"/>
        <v>0</v>
      </c>
    </row>
    <row r="153" spans="2:12" x14ac:dyDescent="0.3">
      <c r="B153">
        <v>0.14300000000000002</v>
      </c>
      <c r="C153">
        <f ca="1"/>
        <v>0.11963776593588599</v>
      </c>
      <c r="D153">
        <f ca="1"/>
        <v>1</v>
      </c>
      <c r="E153">
        <f ca="1"/>
        <v>102.1291040772124</v>
      </c>
      <c r="F153" s="10">
        <f ca="1"/>
        <v>0</v>
      </c>
      <c r="G153" s="7">
        <f ca="1"/>
        <v>0</v>
      </c>
      <c r="H153">
        <f ca="1"/>
        <v>0.83405007550685184</v>
      </c>
      <c r="I153" s="7">
        <f ca="1"/>
        <v>0</v>
      </c>
      <c r="J153">
        <f ca="1"/>
        <v>0.83405007550685184</v>
      </c>
      <c r="K153">
        <f ca="1"/>
        <v>0</v>
      </c>
      <c r="L153">
        <f ca="1"/>
        <v>0</v>
      </c>
    </row>
    <row r="154" spans="2:12" x14ac:dyDescent="0.3">
      <c r="B154">
        <v>0.14400000000000002</v>
      </c>
      <c r="C154">
        <f ca="1"/>
        <v>9.1877974445279134E-2</v>
      </c>
      <c r="D154">
        <f ca="1"/>
        <v>1</v>
      </c>
      <c r="E154">
        <f ca="1"/>
        <v>101.56162741460923</v>
      </c>
      <c r="F154" s="10">
        <f ca="1"/>
        <v>0</v>
      </c>
      <c r="G154" s="7">
        <f ca="1"/>
        <v>0</v>
      </c>
      <c r="H154">
        <f ca="1"/>
        <v>0.83405007550685184</v>
      </c>
      <c r="I154" s="7">
        <f ca="1"/>
        <v>0</v>
      </c>
      <c r="J154">
        <f ca="1"/>
        <v>0.83405007550685184</v>
      </c>
      <c r="K154">
        <f ca="1"/>
        <v>0</v>
      </c>
      <c r="L154">
        <f ca="1"/>
        <v>0</v>
      </c>
    </row>
    <row r="155" spans="2:12" x14ac:dyDescent="0.3">
      <c r="B155">
        <v>0.14499999999999999</v>
      </c>
      <c r="C155">
        <f ca="1"/>
        <v>8.6677156303869976E-2</v>
      </c>
      <c r="D155">
        <f ca="1"/>
        <v>1</v>
      </c>
      <c r="E155">
        <f ca="1"/>
        <v>101.45401252597001</v>
      </c>
      <c r="F155" s="10">
        <f ca="1"/>
        <v>0</v>
      </c>
      <c r="G155" s="7">
        <f ca="1"/>
        <v>0</v>
      </c>
      <c r="H155">
        <f ca="1"/>
        <v>0.83405007550685184</v>
      </c>
      <c r="I155" s="7">
        <f ca="1"/>
        <v>0</v>
      </c>
      <c r="J155">
        <f ca="1"/>
        <v>0.83405007550685184</v>
      </c>
      <c r="K155">
        <f ca="1"/>
        <v>0</v>
      </c>
      <c r="L155">
        <f ca="1"/>
        <v>0</v>
      </c>
    </row>
    <row r="156" spans="2:12" x14ac:dyDescent="0.3">
      <c r="B156">
        <v>0.14599999999999999</v>
      </c>
      <c r="C156">
        <f ca="1"/>
        <v>9.7312890668779808E-2</v>
      </c>
      <c r="D156">
        <f ca="1"/>
        <v>1</v>
      </c>
      <c r="E156">
        <f ca="1"/>
        <v>101.66801642085188</v>
      </c>
      <c r="F156" s="10">
        <f ca="1"/>
        <v>0</v>
      </c>
      <c r="G156" s="7">
        <f ca="1"/>
        <v>0</v>
      </c>
      <c r="H156">
        <f ca="1"/>
        <v>0.83405007550685184</v>
      </c>
      <c r="I156" s="7">
        <f ca="1"/>
        <v>0</v>
      </c>
      <c r="J156">
        <f ca="1"/>
        <v>0.83405007550685184</v>
      </c>
      <c r="K156">
        <f ca="1"/>
        <v>0</v>
      </c>
      <c r="L156">
        <f ca="1"/>
        <v>0</v>
      </c>
    </row>
    <row r="157" spans="2:12" x14ac:dyDescent="0.3">
      <c r="B157">
        <v>0.14699999999999999</v>
      </c>
      <c r="C157">
        <f ca="1"/>
        <v>9.0149278542269826E-2</v>
      </c>
      <c r="D157">
        <f ca="1"/>
        <v>1</v>
      </c>
      <c r="E157">
        <f ca="1"/>
        <v>101.52042824174596</v>
      </c>
      <c r="F157" s="10">
        <f ca="1"/>
        <v>0</v>
      </c>
      <c r="G157" s="7">
        <f ca="1"/>
        <v>0</v>
      </c>
      <c r="H157">
        <f ca="1"/>
        <v>0.83405007550685184</v>
      </c>
      <c r="I157" s="7">
        <f ca="1"/>
        <v>0</v>
      </c>
      <c r="J157">
        <f ca="1"/>
        <v>0.83405007550685184</v>
      </c>
      <c r="K157">
        <f ca="1"/>
        <v>0</v>
      </c>
      <c r="L157">
        <f ca="1"/>
        <v>0</v>
      </c>
    </row>
    <row r="158" spans="2:12" x14ac:dyDescent="0.3">
      <c r="B158">
        <v>0.14799999999999999</v>
      </c>
      <c r="C158">
        <f ca="1"/>
        <v>6.449056709919028E-2</v>
      </c>
      <c r="D158">
        <f ca="1"/>
        <v>1</v>
      </c>
      <c r="E158">
        <f ca="1"/>
        <v>100.99876604677156</v>
      </c>
      <c r="F158" s="10">
        <f ca="1"/>
        <v>0</v>
      </c>
      <c r="G158" s="7">
        <f ca="1"/>
        <v>0</v>
      </c>
      <c r="H158">
        <f ca="1"/>
        <v>0.83405007550685184</v>
      </c>
      <c r="I158" s="7">
        <f ca="1"/>
        <v>0</v>
      </c>
      <c r="J158">
        <f ca="1"/>
        <v>0.83405007550685184</v>
      </c>
      <c r="K158">
        <f ca="1"/>
        <v>0</v>
      </c>
      <c r="L158">
        <f ca="1"/>
        <v>0</v>
      </c>
    </row>
    <row r="159" spans="2:12" x14ac:dyDescent="0.3">
      <c r="B159">
        <v>0.14899999999999999</v>
      </c>
      <c r="C159">
        <f ca="1"/>
        <v>2.5771170142349982E-2</v>
      </c>
      <c r="D159">
        <f ca="1"/>
        <v>1</v>
      </c>
      <c r="E159">
        <f ca="1"/>
        <v>100.21765993892473</v>
      </c>
      <c r="F159" s="10">
        <f ca="1"/>
        <v>0</v>
      </c>
      <c r="G159" s="7">
        <f ca="1"/>
        <v>0</v>
      </c>
      <c r="H159">
        <f ca="1"/>
        <v>0.83405007550685184</v>
      </c>
      <c r="I159" s="7">
        <f ca="1"/>
        <v>0</v>
      </c>
      <c r="J159">
        <f ca="1"/>
        <v>0.83405007550685184</v>
      </c>
      <c r="K159">
        <f ca="1"/>
        <v>0</v>
      </c>
      <c r="L159">
        <f ca="1"/>
        <v>0</v>
      </c>
    </row>
    <row r="160" spans="2:12" x14ac:dyDescent="0.3">
      <c r="B160">
        <v>0.15</v>
      </c>
      <c r="C160">
        <f ca="1"/>
        <v>2.3592867943833404E-2</v>
      </c>
      <c r="D160">
        <f ca="1"/>
        <v>1</v>
      </c>
      <c r="E160">
        <f ca="1"/>
        <v>100.17200511826867</v>
      </c>
      <c r="F160" s="10">
        <f ca="1"/>
        <v>0</v>
      </c>
      <c r="G160" s="7">
        <f ca="1"/>
        <v>0</v>
      </c>
      <c r="H160">
        <f ca="1"/>
        <v>0.83405007550685184</v>
      </c>
      <c r="I160" s="7">
        <f ca="1"/>
        <v>0</v>
      </c>
      <c r="J160">
        <f ca="1"/>
        <v>0.83405007550685184</v>
      </c>
      <c r="K160">
        <f ca="1"/>
        <v>0</v>
      </c>
      <c r="L160">
        <f ca="1"/>
        <v>0</v>
      </c>
    </row>
    <row r="161" spans="2:12" x14ac:dyDescent="0.3">
      <c r="B161">
        <v>0.151</v>
      </c>
      <c r="C161">
        <f ca="1"/>
        <v>-2.0198305911048979E-3</v>
      </c>
      <c r="D161">
        <f ca="1"/>
        <v>1</v>
      </c>
      <c r="E161">
        <f ca="1"/>
        <v>99.65818889693216</v>
      </c>
      <c r="F161" s="10">
        <f ca="1"/>
        <v>99.65818889693216</v>
      </c>
      <c r="G161" s="7">
        <f ca="1"/>
        <v>-1</v>
      </c>
      <c r="H161">
        <f ca="1"/>
        <v>100.49223897243901</v>
      </c>
      <c r="I161" s="7">
        <f ca="1"/>
        <v>-1</v>
      </c>
      <c r="J161">
        <f ca="1"/>
        <v>0.83405007550685184</v>
      </c>
      <c r="K161">
        <f ca="1"/>
        <v>0</v>
      </c>
      <c r="L161">
        <f ca="1"/>
        <v>0.34181110306784035</v>
      </c>
    </row>
    <row r="162" spans="2:12" x14ac:dyDescent="0.3">
      <c r="B162">
        <v>0.152</v>
      </c>
      <c r="C162">
        <f ca="1"/>
        <v>-1.4747065262704412E-2</v>
      </c>
      <c r="D162">
        <f ca="1"/>
        <v>1</v>
      </c>
      <c r="E162">
        <f ca="1"/>
        <v>99.402848772560077</v>
      </c>
      <c r="F162" s="10">
        <f ca="1"/>
        <v>0</v>
      </c>
      <c r="G162" s="7">
        <f ca="1"/>
        <v>0</v>
      </c>
      <c r="H162">
        <f ca="1"/>
        <v>100.49223897243901</v>
      </c>
      <c r="I162" s="7">
        <f ca="1"/>
        <v>-1</v>
      </c>
      <c r="J162">
        <f ca="1"/>
        <v>1.0893901998789346</v>
      </c>
      <c r="K162">
        <f ca="1"/>
        <v>0</v>
      </c>
      <c r="L162">
        <f ca="1"/>
        <v>0.5971512274399231</v>
      </c>
    </row>
    <row r="163" spans="2:12" x14ac:dyDescent="0.3">
      <c r="B163">
        <v>0.153</v>
      </c>
      <c r="C163">
        <f ca="1"/>
        <v>-7.2061959774625487E-3</v>
      </c>
      <c r="D163">
        <f ca="1"/>
        <v>1</v>
      </c>
      <c r="E163">
        <f ca="1"/>
        <v>99.550887619869414</v>
      </c>
      <c r="F163" s="10">
        <f ca="1"/>
        <v>0</v>
      </c>
      <c r="G163" s="7">
        <f ca="1"/>
        <v>0</v>
      </c>
      <c r="H163">
        <f ca="1"/>
        <v>100.49223897243901</v>
      </c>
      <c r="I163" s="7">
        <f ca="1"/>
        <v>-1</v>
      </c>
      <c r="J163">
        <f ca="1"/>
        <v>0.94135135256959757</v>
      </c>
      <c r="K163">
        <f ca="1"/>
        <v>0</v>
      </c>
      <c r="L163">
        <f ca="1"/>
        <v>0.44911238013058608</v>
      </c>
    </row>
    <row r="164" spans="2:12" x14ac:dyDescent="0.3">
      <c r="B164">
        <v>0.154</v>
      </c>
      <c r="C164">
        <f ca="1"/>
        <v>2.5074790174640302E-2</v>
      </c>
      <c r="D164">
        <f ca="1"/>
        <v>1</v>
      </c>
      <c r="E164">
        <f ca="1"/>
        <v>100.19368312742449</v>
      </c>
      <c r="F164" s="10">
        <f ca="1"/>
        <v>-100.19368312742449</v>
      </c>
      <c r="G164" s="7">
        <f ca="1"/>
        <v>1</v>
      </c>
      <c r="H164">
        <f ca="1"/>
        <v>0.29855584501451915</v>
      </c>
      <c r="I164" s="7">
        <f ca="1"/>
        <v>0</v>
      </c>
      <c r="J164">
        <f ca="1"/>
        <v>0.29855584501451915</v>
      </c>
      <c r="K164">
        <f ca="1"/>
        <v>0</v>
      </c>
      <c r="L164">
        <f ca="1"/>
        <v>0</v>
      </c>
    </row>
    <row r="165" spans="2:12" x14ac:dyDescent="0.3">
      <c r="B165">
        <v>0.155</v>
      </c>
      <c r="C165">
        <f ca="1"/>
        <v>2.259315642357097E-2</v>
      </c>
      <c r="D165">
        <f ca="1"/>
        <v>1</v>
      </c>
      <c r="E165">
        <f ca="1"/>
        <v>100.141963801808</v>
      </c>
      <c r="F165" s="10">
        <f ca="1"/>
        <v>0</v>
      </c>
      <c r="G165" s="7">
        <f ca="1"/>
        <v>0</v>
      </c>
      <c r="H165">
        <f ca="1"/>
        <v>0.29855584501451915</v>
      </c>
      <c r="I165">
        <f ca="1"/>
        <v>0</v>
      </c>
      <c r="J165">
        <f ca="1"/>
        <v>0.29855584501451915</v>
      </c>
      <c r="K165">
        <f ca="1"/>
        <v>0</v>
      </c>
      <c r="L165">
        <f ca="1"/>
        <v>0</v>
      </c>
    </row>
    <row r="166" spans="2:12" x14ac:dyDescent="0.3">
      <c r="B166">
        <v>0.156</v>
      </c>
      <c r="C166">
        <f ca="1"/>
        <v>-1.6633566296763682E-2</v>
      </c>
      <c r="D166">
        <f ca="1"/>
        <v>1</v>
      </c>
      <c r="E166">
        <f ca="1"/>
        <v>99.357402221409316</v>
      </c>
      <c r="F166" s="10">
        <f ca="1"/>
        <v>99.357402221409316</v>
      </c>
      <c r="G166" s="7">
        <f ca="1"/>
        <v>-1</v>
      </c>
      <c r="H166">
        <f ca="1"/>
        <v>99.655958066423835</v>
      </c>
      <c r="I166">
        <f ca="1"/>
        <v>-1</v>
      </c>
      <c r="J166">
        <f ca="1"/>
        <v>0.29855584501451915</v>
      </c>
      <c r="K166">
        <f ca="1"/>
        <v>0</v>
      </c>
      <c r="L166">
        <f ca="1"/>
        <v>0.64259777859068379</v>
      </c>
    </row>
    <row r="167" spans="2:12" x14ac:dyDescent="0.3">
      <c r="B167">
        <v>0.157</v>
      </c>
      <c r="C167">
        <f ca="1"/>
        <v>-5.6040623712272156E-2</v>
      </c>
      <c r="D167">
        <f ca="1"/>
        <v>1</v>
      </c>
      <c r="E167">
        <f ca="1"/>
        <v>98.575431905529015</v>
      </c>
      <c r="F167" s="10">
        <f ca="1"/>
        <v>0</v>
      </c>
      <c r="G167" s="7">
        <f ca="1"/>
        <v>0</v>
      </c>
      <c r="H167">
        <f ca="1"/>
        <v>99.655958066423835</v>
      </c>
      <c r="I167">
        <f ca="1"/>
        <v>-1</v>
      </c>
      <c r="J167">
        <f ca="1"/>
        <v>1.08052616089482</v>
      </c>
      <c r="K167">
        <f ca="1"/>
        <v>0</v>
      </c>
      <c r="L167">
        <f ca="1"/>
        <v>1.4245680944709846</v>
      </c>
    </row>
    <row r="168" spans="2:12" x14ac:dyDescent="0.3">
      <c r="B168">
        <v>0.158</v>
      </c>
      <c r="C168">
        <f ca="1"/>
        <v>-7.5076080409715334E-2</v>
      </c>
      <c r="D168">
        <f ca="1"/>
        <v>1</v>
      </c>
      <c r="E168">
        <f ca="1"/>
        <v>98.198895702599671</v>
      </c>
      <c r="F168" s="10">
        <f ca="1"/>
        <v>0</v>
      </c>
      <c r="G168" s="7">
        <f ca="1"/>
        <v>0</v>
      </c>
      <c r="H168">
        <f ca="1"/>
        <v>99.655958066423835</v>
      </c>
      <c r="I168">
        <f ca="1"/>
        <v>-1</v>
      </c>
      <c r="J168">
        <f ca="1"/>
        <v>1.4570623638241642</v>
      </c>
      <c r="K168">
        <f ca="1"/>
        <v>0</v>
      </c>
      <c r="L168">
        <f ca="1"/>
        <v>1.8011042974003288</v>
      </c>
    </row>
    <row r="169" spans="2:12" x14ac:dyDescent="0.3">
      <c r="B169">
        <v>0.159</v>
      </c>
      <c r="C169">
        <f ca="1"/>
        <v>-0.16333676848787021</v>
      </c>
      <c r="D169">
        <f ca="1"/>
        <v>1</v>
      </c>
      <c r="E169">
        <f ca="1"/>
        <v>96.478755349615668</v>
      </c>
      <c r="F169" s="10">
        <f ca="1"/>
        <v>0</v>
      </c>
      <c r="G169" s="7">
        <f ca="1"/>
        <v>0</v>
      </c>
      <c r="H169">
        <f ca="1"/>
        <v>99.655958066423835</v>
      </c>
      <c r="I169">
        <f ca="1"/>
        <v>-1</v>
      </c>
      <c r="J169">
        <f ca="1"/>
        <v>3.1772027168081678</v>
      </c>
      <c r="K169">
        <f ca="1"/>
        <v>0</v>
      </c>
      <c r="L169">
        <f ca="1"/>
        <v>3.5212446503843324</v>
      </c>
    </row>
    <row r="170" spans="2:12" x14ac:dyDescent="0.3">
      <c r="B170">
        <v>0.16</v>
      </c>
      <c r="C170">
        <f ca="1"/>
        <v>-0.14874992669752565</v>
      </c>
      <c r="D170">
        <f ca="1"/>
        <v>1</v>
      </c>
      <c r="E170">
        <f ca="1"/>
        <v>96.758695191175832</v>
      </c>
      <c r="F170" s="10">
        <f ca="1"/>
        <v>0</v>
      </c>
      <c r="G170" s="7">
        <f ca="1"/>
        <v>0</v>
      </c>
      <c r="H170">
        <f ca="1"/>
        <v>99.655958066423835</v>
      </c>
      <c r="I170">
        <f ca="1"/>
        <v>-1</v>
      </c>
      <c r="J170">
        <f ca="1"/>
        <v>2.8972628752480034</v>
      </c>
      <c r="K170">
        <f ca="1"/>
        <v>0</v>
      </c>
      <c r="L170">
        <f ca="1"/>
        <v>3.241304808824168</v>
      </c>
    </row>
    <row r="171" spans="2:12" x14ac:dyDescent="0.3">
      <c r="B171">
        <v>0.161</v>
      </c>
      <c r="C171">
        <f ca="1"/>
        <v>-0.17756226289377286</v>
      </c>
      <c r="D171">
        <f ca="1"/>
        <v>1</v>
      </c>
      <c r="E171">
        <f ca="1"/>
        <v>96.200805749338798</v>
      </c>
      <c r="F171" s="10">
        <f ca="1"/>
        <v>0</v>
      </c>
      <c r="G171" s="7">
        <f ca="1"/>
        <v>0</v>
      </c>
      <c r="H171">
        <f ca="1"/>
        <v>99.655958066423835</v>
      </c>
      <c r="I171">
        <f ca="1"/>
        <v>-1</v>
      </c>
      <c r="J171">
        <f ca="1"/>
        <v>3.4551523170850373</v>
      </c>
      <c r="K171">
        <f ca="1"/>
        <v>0</v>
      </c>
      <c r="L171">
        <f ca="1"/>
        <v>3.799194250661202</v>
      </c>
    </row>
    <row r="172" spans="2:12" x14ac:dyDescent="0.3">
      <c r="B172">
        <v>0.16200000000000001</v>
      </c>
      <c r="C172">
        <f ca="1"/>
        <v>-0.180495472803329</v>
      </c>
      <c r="D172">
        <f ca="1"/>
        <v>1</v>
      </c>
      <c r="E172">
        <f ca="1"/>
        <v>96.142463999944013</v>
      </c>
      <c r="F172" s="10">
        <f ca="1"/>
        <v>0</v>
      </c>
      <c r="G172" s="7">
        <f ca="1"/>
        <v>0</v>
      </c>
      <c r="H172">
        <f ca="1"/>
        <v>99.655958066423835</v>
      </c>
      <c r="I172">
        <f ca="1"/>
        <v>-1</v>
      </c>
      <c r="J172">
        <f ca="1"/>
        <v>3.5134940664798222</v>
      </c>
      <c r="K172">
        <f ca="1"/>
        <v>0</v>
      </c>
      <c r="L172">
        <f ca="1"/>
        <v>3.8575360000559868</v>
      </c>
    </row>
    <row r="173" spans="2:12" x14ac:dyDescent="0.3">
      <c r="B173">
        <v>0.16300000000000001</v>
      </c>
      <c r="C173">
        <f ca="1"/>
        <v>-0.13355934614234455</v>
      </c>
      <c r="D173">
        <f ca="1"/>
        <v>1</v>
      </c>
      <c r="E173">
        <f ca="1"/>
        <v>97.04728333140757</v>
      </c>
      <c r="F173" s="10">
        <f ca="1"/>
        <v>0</v>
      </c>
      <c r="G173" s="7">
        <f ca="1"/>
        <v>0</v>
      </c>
      <c r="H173">
        <f ca="1"/>
        <v>99.655958066423835</v>
      </c>
      <c r="I173">
        <f ca="1"/>
        <v>-1</v>
      </c>
      <c r="J173">
        <f ca="1"/>
        <v>2.6086747350162653</v>
      </c>
      <c r="K173">
        <f ca="1"/>
        <v>0</v>
      </c>
      <c r="L173">
        <f ca="1"/>
        <v>2.95271666859243</v>
      </c>
    </row>
    <row r="174" spans="2:12" x14ac:dyDescent="0.3">
      <c r="B174">
        <v>0.16400000000000001</v>
      </c>
      <c r="C174">
        <f ca="1"/>
        <v>-0.2086542834128739</v>
      </c>
      <c r="D174">
        <f ca="1"/>
        <v>1</v>
      </c>
      <c r="E174">
        <f ca="1"/>
        <v>95.598710292823768</v>
      </c>
      <c r="F174" s="10">
        <f ca="1"/>
        <v>0</v>
      </c>
      <c r="G174" s="7">
        <f ca="1"/>
        <v>0</v>
      </c>
      <c r="H174">
        <f ca="1"/>
        <v>99.655958066423835</v>
      </c>
      <c r="I174">
        <f ca="1"/>
        <v>-1</v>
      </c>
      <c r="J174">
        <f ca="1"/>
        <v>4.0572477736000678</v>
      </c>
      <c r="K174">
        <f ca="1"/>
        <v>0</v>
      </c>
      <c r="L174">
        <f ca="1"/>
        <v>4.4012897071762325</v>
      </c>
    </row>
    <row r="175" spans="2:12" x14ac:dyDescent="0.3">
      <c r="B175">
        <v>0.16500000000000001</v>
      </c>
      <c r="C175">
        <f ca="1"/>
        <v>-0.24344994561090566</v>
      </c>
      <c r="D175">
        <f ca="1"/>
        <v>1</v>
      </c>
      <c r="E175">
        <f ca="1"/>
        <v>94.933837050575548</v>
      </c>
      <c r="F175" s="10">
        <f ca="1"/>
        <v>0</v>
      </c>
      <c r="G175" s="7">
        <f ca="1"/>
        <v>0</v>
      </c>
      <c r="H175">
        <f ca="1"/>
        <v>99.655958066423835</v>
      </c>
      <c r="I175">
        <f ca="1"/>
        <v>-1</v>
      </c>
      <c r="J175">
        <f ca="1"/>
        <v>4.7221210158482876</v>
      </c>
      <c r="K175">
        <f ca="1"/>
        <v>0</v>
      </c>
      <c r="L175">
        <f ca="1"/>
        <v>5.0661629494244522</v>
      </c>
    </row>
    <row r="176" spans="2:12" x14ac:dyDescent="0.3">
      <c r="B176">
        <v>0.16600000000000001</v>
      </c>
      <c r="C176">
        <f ca="1"/>
        <v>-0.20556434106678728</v>
      </c>
      <c r="D176">
        <f ca="1"/>
        <v>1</v>
      </c>
      <c r="E176">
        <f ca="1"/>
        <v>95.653981216484652</v>
      </c>
      <c r="F176" s="10">
        <f ca="1"/>
        <v>0</v>
      </c>
      <c r="G176" s="7">
        <f ca="1"/>
        <v>0</v>
      </c>
      <c r="H176">
        <f ca="1"/>
        <v>99.655958066423835</v>
      </c>
      <c r="I176">
        <f ca="1"/>
        <v>-1</v>
      </c>
      <c r="J176">
        <f ca="1"/>
        <v>4.001976849939183</v>
      </c>
      <c r="K176">
        <f ca="1"/>
        <v>0</v>
      </c>
      <c r="L176">
        <f ca="1"/>
        <v>4.3460187835153476</v>
      </c>
    </row>
    <row r="177" spans="2:12" x14ac:dyDescent="0.3">
      <c r="B177">
        <v>0.16700000000000001</v>
      </c>
      <c r="C177">
        <f ca="1"/>
        <v>-0.28807049647661009</v>
      </c>
      <c r="D177">
        <f ca="1"/>
        <v>1</v>
      </c>
      <c r="E177">
        <f ca="1"/>
        <v>94.086642521680645</v>
      </c>
      <c r="F177" s="10">
        <f ca="1"/>
        <v>0</v>
      </c>
      <c r="G177" s="7">
        <f ca="1"/>
        <v>0</v>
      </c>
      <c r="H177">
        <f ca="1"/>
        <v>99.655958066423835</v>
      </c>
      <c r="I177">
        <f ca="1"/>
        <v>-1</v>
      </c>
      <c r="J177">
        <f ca="1"/>
        <v>5.5693155447431906</v>
      </c>
      <c r="K177">
        <f ca="1"/>
        <v>0</v>
      </c>
      <c r="L177">
        <f ca="1"/>
        <v>5.9133574783193552</v>
      </c>
    </row>
    <row r="178" spans="2:12" x14ac:dyDescent="0.3">
      <c r="B178">
        <v>0.16800000000000001</v>
      </c>
      <c r="C178">
        <f ca="1"/>
        <v>-0.28139776169588282</v>
      </c>
      <c r="D178">
        <f ca="1"/>
        <v>1</v>
      </c>
      <c r="E178">
        <f ca="1"/>
        <v>94.210405159298574</v>
      </c>
      <c r="F178" s="10">
        <f ca="1"/>
        <v>0</v>
      </c>
      <c r="G178" s="7">
        <f ca="1"/>
        <v>0</v>
      </c>
      <c r="H178">
        <f ca="1"/>
        <v>99.655958066423835</v>
      </c>
      <c r="I178">
        <f ca="1"/>
        <v>-1</v>
      </c>
      <c r="J178">
        <f ca="1"/>
        <v>5.4455529071252613</v>
      </c>
      <c r="K178">
        <f ca="1"/>
        <v>0</v>
      </c>
      <c r="L178">
        <f ca="1"/>
        <v>5.7895948407014259</v>
      </c>
    </row>
    <row r="179" spans="2:12" x14ac:dyDescent="0.3">
      <c r="B179">
        <v>0.16900000000000001</v>
      </c>
      <c r="C179">
        <f ca="1"/>
        <v>-0.30516456300395645</v>
      </c>
      <c r="D179">
        <f ca="1"/>
        <v>1</v>
      </c>
      <c r="E179">
        <f ca="1"/>
        <v>93.761776539924597</v>
      </c>
      <c r="F179" s="10">
        <f ca="1"/>
        <v>0</v>
      </c>
      <c r="G179" s="7">
        <f ca="1"/>
        <v>0</v>
      </c>
      <c r="H179">
        <f ca="1"/>
        <v>99.655958066423835</v>
      </c>
      <c r="I179">
        <f ca="1"/>
        <v>-1</v>
      </c>
      <c r="J179">
        <f ca="1"/>
        <v>5.8941815264992385</v>
      </c>
      <c r="K179">
        <f ca="1"/>
        <v>0</v>
      </c>
      <c r="L179">
        <f ca="1"/>
        <v>6.2382234600754032</v>
      </c>
    </row>
    <row r="180" spans="2:12" x14ac:dyDescent="0.3">
      <c r="B180">
        <v>0.17</v>
      </c>
      <c r="C180">
        <f ca="1"/>
        <v>-0.28554248567066359</v>
      </c>
      <c r="D180">
        <f ca="1"/>
        <v>1</v>
      </c>
      <c r="E180">
        <f ca="1"/>
        <v>94.128577075297329</v>
      </c>
      <c r="F180" s="10">
        <f ca="1"/>
        <v>0</v>
      </c>
      <c r="G180" s="7">
        <f ca="1"/>
        <v>0</v>
      </c>
      <c r="H180">
        <f ca="1"/>
        <v>99.655958066423835</v>
      </c>
      <c r="I180">
        <f ca="1"/>
        <v>-1</v>
      </c>
      <c r="J180">
        <f ca="1"/>
        <v>5.5273809911265062</v>
      </c>
      <c r="K180">
        <f ca="1"/>
        <v>0</v>
      </c>
      <c r="L180">
        <f ca="1"/>
        <v>5.8714229247026708</v>
      </c>
    </row>
    <row r="181" spans="2:12" x14ac:dyDescent="0.3">
      <c r="B181">
        <v>0.17100000000000001</v>
      </c>
      <c r="C181">
        <f ca="1"/>
        <v>-0.27230167642094671</v>
      </c>
      <c r="D181">
        <f ca="1"/>
        <v>1</v>
      </c>
      <c r="E181">
        <f ca="1"/>
        <v>94.376287579621859</v>
      </c>
      <c r="F181" s="10">
        <f ca="1"/>
        <v>0</v>
      </c>
      <c r="G181" s="7">
        <f ca="1"/>
        <v>0</v>
      </c>
      <c r="H181">
        <f ca="1"/>
        <v>99.655958066423835</v>
      </c>
      <c r="I181">
        <f ca="1"/>
        <v>-1</v>
      </c>
      <c r="J181">
        <f ca="1"/>
        <v>5.2796704868019759</v>
      </c>
      <c r="K181">
        <f ca="1"/>
        <v>0</v>
      </c>
      <c r="L181">
        <f ca="1"/>
        <v>5.6237124203781406</v>
      </c>
    </row>
    <row r="182" spans="2:12" x14ac:dyDescent="0.3">
      <c r="B182">
        <v>0.17200000000000001</v>
      </c>
      <c r="C182">
        <f ca="1"/>
        <v>-0.24626087577310707</v>
      </c>
      <c r="D182">
        <f ca="1"/>
        <v>1</v>
      </c>
      <c r="E182">
        <f ca="1"/>
        <v>94.867199235002403</v>
      </c>
      <c r="F182" s="10">
        <f ca="1"/>
        <v>0</v>
      </c>
      <c r="G182" s="7">
        <f ca="1"/>
        <v>0</v>
      </c>
      <c r="H182">
        <f ca="1"/>
        <v>99.655958066423835</v>
      </c>
      <c r="I182">
        <f ca="1"/>
        <v>-1</v>
      </c>
      <c r="J182">
        <f ca="1"/>
        <v>4.7887588314214327</v>
      </c>
      <c r="K182">
        <f ca="1"/>
        <v>0</v>
      </c>
      <c r="L182">
        <f ca="1"/>
        <v>5.1328007649975973</v>
      </c>
    </row>
    <row r="183" spans="2:12" x14ac:dyDescent="0.3">
      <c r="B183">
        <v>0.17300000000000001</v>
      </c>
      <c r="C183">
        <f ca="1"/>
        <v>-0.20798249744544112</v>
      </c>
      <c r="D183">
        <f ca="1"/>
        <v>1</v>
      </c>
      <c r="E183">
        <f ca="1"/>
        <v>95.594346998964184</v>
      </c>
      <c r="F183" s="10">
        <f ca="1"/>
        <v>0</v>
      </c>
      <c r="G183" s="7">
        <f ca="1"/>
        <v>0</v>
      </c>
      <c r="H183">
        <f ca="1"/>
        <v>99.655958066423835</v>
      </c>
      <c r="I183">
        <f ca="1"/>
        <v>-1</v>
      </c>
      <c r="J183">
        <f ca="1"/>
        <v>4.0616110674596513</v>
      </c>
      <c r="K183">
        <f ca="1"/>
        <v>0</v>
      </c>
      <c r="L183">
        <f ca="1"/>
        <v>4.4056530010358159</v>
      </c>
    </row>
    <row r="184" spans="2:12" x14ac:dyDescent="0.3">
      <c r="B184">
        <v>0.17400000000000002</v>
      </c>
      <c r="C184">
        <f ca="1"/>
        <v>-0.21698007531378594</v>
      </c>
      <c r="D184">
        <f ca="1"/>
        <v>1</v>
      </c>
      <c r="E184">
        <f ca="1"/>
        <v>95.420569739003056</v>
      </c>
      <c r="F184" s="10">
        <f ca="1"/>
        <v>0</v>
      </c>
      <c r="G184" s="7">
        <f ca="1"/>
        <v>0</v>
      </c>
      <c r="H184">
        <f ca="1"/>
        <v>99.655958066423835</v>
      </c>
      <c r="I184">
        <f ca="1"/>
        <v>-1</v>
      </c>
      <c r="J184">
        <f ca="1"/>
        <v>4.2353883274207789</v>
      </c>
      <c r="K184">
        <f ca="1"/>
        <v>0</v>
      </c>
      <c r="L184">
        <f ca="1"/>
        <v>4.5794302609969435</v>
      </c>
    </row>
    <row r="185" spans="2:12" x14ac:dyDescent="0.3">
      <c r="B185">
        <v>0.17500000000000002</v>
      </c>
      <c r="C185">
        <f ca="1"/>
        <v>-0.23329166573178836</v>
      </c>
      <c r="D185">
        <f ca="1"/>
        <v>1</v>
      </c>
      <c r="E185">
        <f ca="1"/>
        <v>95.107882527576407</v>
      </c>
      <c r="F185" s="10">
        <f ca="1"/>
        <v>0</v>
      </c>
      <c r="G185" s="7">
        <f ca="1"/>
        <v>0</v>
      </c>
      <c r="H185">
        <f ca="1"/>
        <v>99.655958066423835</v>
      </c>
      <c r="I185">
        <f ca="1"/>
        <v>-1</v>
      </c>
      <c r="J185">
        <f ca="1"/>
        <v>4.5480755388474279</v>
      </c>
      <c r="K185">
        <f ca="1"/>
        <v>0</v>
      </c>
      <c r="L185">
        <f ca="1"/>
        <v>4.8921174724235925</v>
      </c>
    </row>
    <row r="186" spans="2:12" x14ac:dyDescent="0.3">
      <c r="B186">
        <v>0.17599999999999999</v>
      </c>
      <c r="C186">
        <f ca="1"/>
        <v>-0.25539269821987887</v>
      </c>
      <c r="D186">
        <f ca="1"/>
        <v>1</v>
      </c>
      <c r="E186">
        <f ca="1"/>
        <v>94.686520050086401</v>
      </c>
      <c r="F186" s="10">
        <f ca="1"/>
        <v>0</v>
      </c>
      <c r="G186" s="7">
        <f ca="1"/>
        <v>0</v>
      </c>
      <c r="H186">
        <f ca="1"/>
        <v>99.655958066423835</v>
      </c>
      <c r="I186">
        <f ca="1"/>
        <v>-1</v>
      </c>
      <c r="J186">
        <f ca="1"/>
        <v>4.9694380163374348</v>
      </c>
      <c r="K186">
        <f ca="1"/>
        <v>0</v>
      </c>
      <c r="L186">
        <f ca="1"/>
        <v>5.3134799499135994</v>
      </c>
    </row>
    <row r="187" spans="2:12" x14ac:dyDescent="0.3">
      <c r="B187">
        <v>0.17699999999999999</v>
      </c>
      <c r="C187">
        <f ca="1"/>
        <v>-0.26352653982087237</v>
      </c>
      <c r="D187">
        <f ca="1"/>
        <v>1</v>
      </c>
      <c r="E187">
        <f ca="1"/>
        <v>94.530721605697778</v>
      </c>
      <c r="F187">
        <f ca="1"/>
        <v>0</v>
      </c>
      <c r="G187" s="7">
        <f ca="1"/>
        <v>0</v>
      </c>
      <c r="H187">
        <f ca="1"/>
        <v>99.655958066423835</v>
      </c>
      <c r="I187">
        <f ca="1"/>
        <v>-1</v>
      </c>
      <c r="J187">
        <f ca="1"/>
        <v>5.1252364607260574</v>
      </c>
      <c r="K187">
        <f ca="1"/>
        <v>0</v>
      </c>
      <c r="L187">
        <f ca="1"/>
        <v>5.4692783943022221</v>
      </c>
    </row>
    <row r="188" spans="2:12" x14ac:dyDescent="0.3">
      <c r="B188">
        <v>0.17799999999999999</v>
      </c>
      <c r="C188">
        <f ca="1"/>
        <v>-0.31937971085661021</v>
      </c>
      <c r="D188">
        <f ca="1"/>
        <v>1</v>
      </c>
      <c r="E188">
        <f ca="1"/>
        <v>93.47875991620397</v>
      </c>
      <c r="F188">
        <f ca="1"/>
        <v>0</v>
      </c>
      <c r="G188" s="7">
        <f ca="1"/>
        <v>0</v>
      </c>
      <c r="H188">
        <f ca="1"/>
        <v>99.655958066423835</v>
      </c>
      <c r="I188">
        <f ca="1"/>
        <v>-1</v>
      </c>
      <c r="J188">
        <f ca="1"/>
        <v>6.1771981502198656</v>
      </c>
      <c r="K188">
        <f ca="1"/>
        <v>0</v>
      </c>
      <c r="L188">
        <f ca="1"/>
        <v>6.5212400837960303</v>
      </c>
    </row>
    <row r="189" spans="2:12" x14ac:dyDescent="0.3">
      <c r="B189">
        <v>0.17899999999999999</v>
      </c>
      <c r="C189">
        <f ca="1"/>
        <v>-0.31372284503413211</v>
      </c>
      <c r="D189">
        <f ca="1"/>
        <v>1</v>
      </c>
      <c r="E189">
        <f ca="1"/>
        <v>93.58270745297736</v>
      </c>
      <c r="F189">
        <f ca="1"/>
        <v>0</v>
      </c>
      <c r="G189" s="7">
        <f ca="1"/>
        <v>0</v>
      </c>
      <c r="H189">
        <f ca="1"/>
        <v>99.655958066423835</v>
      </c>
      <c r="I189">
        <f ca="1"/>
        <v>-1</v>
      </c>
      <c r="J189">
        <f ca="1"/>
        <v>6.0732506134464757</v>
      </c>
      <c r="K189">
        <f ca="1"/>
        <v>0</v>
      </c>
      <c r="L189">
        <f ca="1"/>
        <v>6.4172925470226403</v>
      </c>
    </row>
    <row r="190" spans="2:12" x14ac:dyDescent="0.3">
      <c r="B190">
        <v>0.18</v>
      </c>
      <c r="C190">
        <f ca="1"/>
        <v>-0.36514775534336902</v>
      </c>
      <c r="D190">
        <f ca="1"/>
        <v>1</v>
      </c>
      <c r="E190">
        <f ca="1"/>
        <v>92.623291205218379</v>
      </c>
      <c r="F190">
        <f ca="1"/>
        <v>0</v>
      </c>
      <c r="G190" s="7">
        <f ca="1"/>
        <v>0</v>
      </c>
      <c r="H190">
        <f ca="1"/>
        <v>99.655958066423835</v>
      </c>
      <c r="I190">
        <f ca="1"/>
        <v>-1</v>
      </c>
      <c r="J190">
        <f ca="1"/>
        <v>7.0326668612054561</v>
      </c>
      <c r="K190">
        <f ca="1"/>
        <v>0</v>
      </c>
      <c r="L190">
        <f ca="1"/>
        <v>7.3767087947816208</v>
      </c>
    </row>
    <row r="191" spans="2:12" x14ac:dyDescent="0.3">
      <c r="B191">
        <v>0.18099999999999999</v>
      </c>
      <c r="C191">
        <f ca="1"/>
        <v>-0.33401082503868612</v>
      </c>
      <c r="D191">
        <f ca="1"/>
        <v>1</v>
      </c>
      <c r="E191">
        <f ca="1"/>
        <v>93.200027893721142</v>
      </c>
      <c r="F191">
        <f ca="1"/>
        <v>0</v>
      </c>
      <c r="G191" s="7">
        <f ca="1"/>
        <v>0</v>
      </c>
      <c r="H191">
        <f ca="1"/>
        <v>99.655958066423835</v>
      </c>
      <c r="I191">
        <f ca="1"/>
        <v>-1</v>
      </c>
      <c r="J191">
        <f ca="1"/>
        <v>6.4559301727026934</v>
      </c>
      <c r="K191">
        <f ca="1"/>
        <v>0</v>
      </c>
      <c r="L191">
        <f ca="1"/>
        <v>6.7999721062788581</v>
      </c>
    </row>
    <row r="192" spans="2:12" x14ac:dyDescent="0.3">
      <c r="B192">
        <v>0.182</v>
      </c>
      <c r="C192">
        <f ca="1"/>
        <v>-0.31021195822199049</v>
      </c>
      <c r="D192">
        <f ca="1"/>
        <v>1</v>
      </c>
      <c r="E192">
        <f ca="1"/>
        <v>93.642823449718591</v>
      </c>
      <c r="F192">
        <f ca="1"/>
        <v>0</v>
      </c>
      <c r="G192" s="7">
        <f ca="1"/>
        <v>0</v>
      </c>
      <c r="H192">
        <f ca="1"/>
        <v>99.655958066423835</v>
      </c>
      <c r="I192">
        <f ca="1"/>
        <v>-1</v>
      </c>
      <c r="J192">
        <f ca="1"/>
        <v>6.0131346167052442</v>
      </c>
      <c r="K192">
        <f ca="1"/>
        <v>0</v>
      </c>
      <c r="L192">
        <f ca="1"/>
        <v>6.3571765502814088</v>
      </c>
    </row>
    <row r="193" spans="2:12" x14ac:dyDescent="0.3">
      <c r="B193">
        <v>0.183</v>
      </c>
      <c r="C193">
        <f ca="1"/>
        <v>-0.30837131150390618</v>
      </c>
      <c r="D193">
        <f ca="1"/>
        <v>1</v>
      </c>
      <c r="E193">
        <f ca="1"/>
        <v>93.675428939515143</v>
      </c>
      <c r="F193">
        <f ca="1"/>
        <v>0</v>
      </c>
      <c r="G193" s="7">
        <f ca="1"/>
        <v>0</v>
      </c>
      <c r="H193">
        <f ca="1"/>
        <v>99.655958066423835</v>
      </c>
      <c r="I193">
        <f ca="1"/>
        <v>-1</v>
      </c>
      <c r="J193">
        <f ca="1"/>
        <v>5.9805291269086922</v>
      </c>
      <c r="K193">
        <f ca="1"/>
        <v>0</v>
      </c>
      <c r="L193">
        <f ca="1"/>
        <v>6.3245710604848568</v>
      </c>
    </row>
    <row r="194" spans="2:12" x14ac:dyDescent="0.3">
      <c r="B194">
        <v>0.184</v>
      </c>
      <c r="C194">
        <f ca="1"/>
        <v>-0.33472053479935515</v>
      </c>
      <c r="D194">
        <f ca="1"/>
        <v>1</v>
      </c>
      <c r="E194">
        <f ca="1"/>
        <v>93.18120879839573</v>
      </c>
      <c r="F194">
        <f ca="1"/>
        <v>0</v>
      </c>
      <c r="G194" s="7">
        <f ca="1"/>
        <v>0</v>
      </c>
      <c r="H194">
        <f ca="1"/>
        <v>99.655958066423835</v>
      </c>
      <c r="I194">
        <f ca="1"/>
        <v>-1</v>
      </c>
      <c r="J194">
        <f ca="1"/>
        <v>6.4747492680281056</v>
      </c>
      <c r="K194">
        <f ca="1"/>
        <v>0</v>
      </c>
      <c r="L194">
        <f ca="1"/>
        <v>6.8187912016042702</v>
      </c>
    </row>
    <row r="195" spans="2:12" x14ac:dyDescent="0.3">
      <c r="B195">
        <v>0.185</v>
      </c>
      <c r="C195">
        <f ca="1"/>
        <v>-0.38422694508854793</v>
      </c>
      <c r="D195">
        <f ca="1"/>
        <v>1</v>
      </c>
      <c r="E195">
        <f ca="1"/>
        <v>92.261302613439327</v>
      </c>
      <c r="F195">
        <f ca="1"/>
        <v>0</v>
      </c>
      <c r="G195" s="7">
        <f ca="1"/>
        <v>0</v>
      </c>
      <c r="H195">
        <f ca="1"/>
        <v>99.655958066423835</v>
      </c>
      <c r="I195">
        <f ca="1"/>
        <v>-1</v>
      </c>
      <c r="J195">
        <f ca="1"/>
        <v>7.3946554529845088</v>
      </c>
      <c r="K195">
        <f ca="1"/>
        <v>0</v>
      </c>
      <c r="L195">
        <f ca="1"/>
        <v>7.7386973865606734</v>
      </c>
    </row>
    <row r="196" spans="2:12" x14ac:dyDescent="0.3">
      <c r="B196">
        <v>0.186</v>
      </c>
      <c r="C196">
        <f ca="1"/>
        <v>-0.36398738304694062</v>
      </c>
      <c r="D196">
        <f ca="1"/>
        <v>1</v>
      </c>
      <c r="E196">
        <f ca="1"/>
        <v>92.633672492225159</v>
      </c>
      <c r="F196">
        <f ca="1"/>
        <v>0</v>
      </c>
      <c r="G196" s="7">
        <f ca="1"/>
        <v>0</v>
      </c>
      <c r="H196">
        <f ca="1"/>
        <v>99.655958066423835</v>
      </c>
      <c r="I196">
        <f ca="1"/>
        <v>-1</v>
      </c>
      <c r="J196">
        <f ca="1"/>
        <v>7.0222855741986763</v>
      </c>
      <c r="K196">
        <f ca="1"/>
        <v>0</v>
      </c>
      <c r="L196">
        <f ca="1"/>
        <v>7.3663275077748409</v>
      </c>
    </row>
    <row r="197" spans="2:12" x14ac:dyDescent="0.3">
      <c r="B197">
        <v>0.187</v>
      </c>
      <c r="C197">
        <f ca="1"/>
        <v>-0.32182678990198027</v>
      </c>
      <c r="D197">
        <f ca="1"/>
        <v>1</v>
      </c>
      <c r="E197">
        <f ca="1"/>
        <v>93.416204696565913</v>
      </c>
      <c r="F197">
        <f ca="1"/>
        <v>0</v>
      </c>
      <c r="G197" s="7">
        <f ca="1"/>
        <v>0</v>
      </c>
      <c r="H197">
        <f ca="1"/>
        <v>99.655958066423835</v>
      </c>
      <c r="I197">
        <f ca="1"/>
        <v>-1</v>
      </c>
      <c r="J197">
        <f ca="1"/>
        <v>6.2397533698579224</v>
      </c>
      <c r="K197">
        <f ca="1"/>
        <v>0</v>
      </c>
      <c r="L197">
        <f ca="1"/>
        <v>6.583795303434087</v>
      </c>
    </row>
    <row r="198" spans="2:12" x14ac:dyDescent="0.3">
      <c r="B198">
        <v>0.188</v>
      </c>
      <c r="C198">
        <f ca="1"/>
        <v>-0.28417811552021743</v>
      </c>
      <c r="D198">
        <f ca="1"/>
        <v>1</v>
      </c>
      <c r="E198">
        <f ca="1"/>
        <v>94.120376388974876</v>
      </c>
      <c r="F198">
        <f ca="1"/>
        <v>0</v>
      </c>
      <c r="G198" s="7">
        <f ca="1"/>
        <v>0</v>
      </c>
      <c r="H198">
        <f ca="1"/>
        <v>99.655958066423835</v>
      </c>
      <c r="I198">
        <f ca="1"/>
        <v>-1</v>
      </c>
      <c r="J198">
        <f ca="1"/>
        <v>5.5355816774489597</v>
      </c>
      <c r="K198">
        <f ca="1"/>
        <v>0</v>
      </c>
      <c r="L198">
        <f ca="1"/>
        <v>5.8796236110251243</v>
      </c>
    </row>
    <row r="199" spans="2:12" x14ac:dyDescent="0.3">
      <c r="B199">
        <v>0.189</v>
      </c>
      <c r="C199">
        <f ca="1"/>
        <v>-0.28637754613438055</v>
      </c>
      <c r="D199">
        <f ca="1"/>
        <v>1</v>
      </c>
      <c r="E199">
        <f ca="1"/>
        <v>94.077101685478297</v>
      </c>
      <c r="F199">
        <f ca="1"/>
        <v>0</v>
      </c>
      <c r="G199" s="7">
        <f ca="1"/>
        <v>0</v>
      </c>
      <c r="H199">
        <f ca="1"/>
        <v>99.655958066423835</v>
      </c>
      <c r="I199">
        <f ca="1"/>
        <v>-1</v>
      </c>
      <c r="J199">
        <f ca="1"/>
        <v>5.5788563809455383</v>
      </c>
      <c r="K199">
        <f ca="1"/>
        <v>0</v>
      </c>
      <c r="L199">
        <f ca="1"/>
        <v>5.9228983145217029</v>
      </c>
    </row>
    <row r="200" spans="2:12" x14ac:dyDescent="0.3">
      <c r="B200">
        <v>0.19</v>
      </c>
      <c r="C200">
        <f ca="1"/>
        <v>-0.24027031382623198</v>
      </c>
      <c r="D200">
        <f ca="1"/>
        <v>1</v>
      </c>
      <c r="E200">
        <f ca="1"/>
        <v>94.946741938232975</v>
      </c>
      <c r="F200">
        <f ca="1"/>
        <v>0</v>
      </c>
      <c r="G200" s="7">
        <f ca="1"/>
        <v>0</v>
      </c>
      <c r="H200">
        <f ca="1"/>
        <v>99.655958066423835</v>
      </c>
      <c r="I200">
        <f ca="1"/>
        <v>-1</v>
      </c>
      <c r="J200">
        <f ca="1"/>
        <v>4.7092161281908602</v>
      </c>
      <c r="K200">
        <f ca="1"/>
        <v>0</v>
      </c>
      <c r="L200">
        <f ca="1"/>
        <v>5.0532580617670249</v>
      </c>
    </row>
    <row r="201" spans="2:12" x14ac:dyDescent="0.3">
      <c r="B201">
        <v>0.191</v>
      </c>
      <c r="C201">
        <f ca="1"/>
        <v>-0.23590377083281097</v>
      </c>
      <c r="D201">
        <f ca="1"/>
        <v>1</v>
      </c>
      <c r="E201">
        <f ca="1"/>
        <v>95.027795386429915</v>
      </c>
      <c r="F201">
        <f ca="1"/>
        <v>0</v>
      </c>
      <c r="G201" s="7">
        <f ca="1"/>
        <v>0</v>
      </c>
      <c r="H201">
        <f ca="1"/>
        <v>99.655958066423835</v>
      </c>
      <c r="I201">
        <f ca="1"/>
        <v>-1</v>
      </c>
      <c r="J201">
        <f ca="1"/>
        <v>4.6281626799939204</v>
      </c>
      <c r="K201">
        <f ca="1"/>
        <v>0</v>
      </c>
      <c r="L201">
        <f ca="1"/>
        <v>4.972204613570085</v>
      </c>
    </row>
    <row r="202" spans="2:12" x14ac:dyDescent="0.3">
      <c r="B202">
        <v>0.192</v>
      </c>
      <c r="C202">
        <f ca="1"/>
        <v>-0.24300909927541414</v>
      </c>
      <c r="D202">
        <f ca="1"/>
        <v>1</v>
      </c>
      <c r="E202">
        <f ca="1"/>
        <v>94.890952714363905</v>
      </c>
      <c r="F202">
        <f ca="1"/>
        <v>0</v>
      </c>
      <c r="G202" s="7">
        <f ca="1"/>
        <v>0</v>
      </c>
      <c r="H202">
        <f ca="1"/>
        <v>99.655958066423835</v>
      </c>
      <c r="I202">
        <f ca="1"/>
        <v>-1</v>
      </c>
      <c r="J202">
        <f ca="1"/>
        <v>4.76500535205993</v>
      </c>
      <c r="K202">
        <f ca="1"/>
        <v>0</v>
      </c>
      <c r="L202">
        <f ca="1"/>
        <v>5.1090472856360947</v>
      </c>
    </row>
    <row r="203" spans="2:12" x14ac:dyDescent="0.3">
      <c r="B203">
        <v>0.193</v>
      </c>
      <c r="C203">
        <f ca="1"/>
        <v>-0.18011336139969658</v>
      </c>
      <c r="D203">
        <f ca="1"/>
        <v>1</v>
      </c>
      <c r="E203">
        <f ca="1"/>
        <v>96.090217299995061</v>
      </c>
      <c r="F203">
        <f ca="1"/>
        <v>0</v>
      </c>
      <c r="G203" s="7">
        <f ca="1"/>
        <v>0</v>
      </c>
      <c r="H203">
        <f ca="1"/>
        <v>99.655958066423835</v>
      </c>
      <c r="I203">
        <f ca="1"/>
        <v>-1</v>
      </c>
      <c r="J203">
        <f ca="1"/>
        <v>3.5657407664287746</v>
      </c>
      <c r="K203">
        <f ca="1"/>
        <v>0</v>
      </c>
      <c r="L203">
        <f ca="1"/>
        <v>3.9097827000049392</v>
      </c>
    </row>
    <row r="204" spans="2:12" x14ac:dyDescent="0.3">
      <c r="B204">
        <v>0.19400000000000001</v>
      </c>
      <c r="C204">
        <f ca="1"/>
        <v>-0.17422747142914993</v>
      </c>
      <c r="D204">
        <f ca="1"/>
        <v>1</v>
      </c>
      <c r="E204">
        <f ca="1"/>
        <v>96.201475145053706</v>
      </c>
      <c r="F204">
        <f ca="1"/>
        <v>0</v>
      </c>
      <c r="G204" s="7">
        <f ca="1"/>
        <v>0</v>
      </c>
      <c r="H204">
        <f ca="1"/>
        <v>99.655958066423835</v>
      </c>
      <c r="I204">
        <f ca="1"/>
        <v>-1</v>
      </c>
      <c r="J204">
        <f ca="1"/>
        <v>3.4544829213701291</v>
      </c>
      <c r="K204">
        <f ca="1"/>
        <v>0</v>
      </c>
      <c r="L204">
        <f ca="1"/>
        <v>3.7985248549462938</v>
      </c>
    </row>
    <row r="205" spans="2:12" x14ac:dyDescent="0.3">
      <c r="B205">
        <v>0.19500000000000001</v>
      </c>
      <c r="C205">
        <f ca="1"/>
        <v>-0.16721461900595677</v>
      </c>
      <c r="D205">
        <f ca="1"/>
        <v>1</v>
      </c>
      <c r="E205">
        <f ca="1"/>
        <v>96.334572452170846</v>
      </c>
      <c r="F205">
        <f ca="1"/>
        <v>0</v>
      </c>
      <c r="G205" s="7">
        <f ca="1"/>
        <v>0</v>
      </c>
      <c r="H205">
        <f ca="1"/>
        <v>99.655958066423835</v>
      </c>
      <c r="I205">
        <f ca="1"/>
        <v>-1</v>
      </c>
      <c r="J205">
        <f ca="1"/>
        <v>3.3213856142529892</v>
      </c>
      <c r="K205">
        <f ca="1"/>
        <v>0</v>
      </c>
      <c r="L205">
        <f ca="1"/>
        <v>3.6654275478291538</v>
      </c>
    </row>
    <row r="206" spans="2:12" x14ac:dyDescent="0.3">
      <c r="B206">
        <v>0.19600000000000001</v>
      </c>
      <c r="C206">
        <f ca="1"/>
        <v>-0.13632933309061943</v>
      </c>
      <c r="D206">
        <f ca="1"/>
        <v>1</v>
      </c>
      <c r="E206">
        <f ca="1"/>
        <v>96.929539667481251</v>
      </c>
      <c r="F206">
        <f ca="1"/>
        <v>0</v>
      </c>
      <c r="G206" s="7">
        <f ca="1"/>
        <v>0</v>
      </c>
      <c r="H206">
        <f ca="1"/>
        <v>99.655958066423835</v>
      </c>
      <c r="I206">
        <f ca="1"/>
        <v>-1</v>
      </c>
      <c r="J206">
        <f ca="1"/>
        <v>2.7264183989425845</v>
      </c>
      <c r="K206">
        <f ca="1"/>
        <v>0</v>
      </c>
      <c r="L206">
        <f ca="1"/>
        <v>3.0704603325187492</v>
      </c>
    </row>
    <row r="207" spans="2:12" x14ac:dyDescent="0.3">
      <c r="B207">
        <v>0.19700000000000001</v>
      </c>
      <c r="C207">
        <f ca="1"/>
        <v>-0.12574724705874094</v>
      </c>
      <c r="D207">
        <f ca="1"/>
        <v>1</v>
      </c>
      <c r="E207">
        <f ca="1"/>
        <v>97.132957572142729</v>
      </c>
      <c r="F207">
        <f ca="1"/>
        <v>0</v>
      </c>
      <c r="G207" s="7">
        <f ca="1"/>
        <v>0</v>
      </c>
      <c r="H207">
        <f ca="1"/>
        <v>99.655958066423835</v>
      </c>
      <c r="I207">
        <f ca="1"/>
        <v>-1</v>
      </c>
      <c r="J207">
        <f ca="1"/>
        <v>2.5230004942811064</v>
      </c>
      <c r="K207">
        <f ca="1"/>
        <v>0</v>
      </c>
      <c r="L207">
        <f ca="1"/>
        <v>2.867042427857271</v>
      </c>
    </row>
    <row r="208" spans="2:12" x14ac:dyDescent="0.3">
      <c r="B208">
        <v>0.19800000000000001</v>
      </c>
      <c r="C208">
        <f ca="1"/>
        <v>-0.13909707544360278</v>
      </c>
      <c r="D208">
        <f ca="1"/>
        <v>1</v>
      </c>
      <c r="E208">
        <f ca="1"/>
        <v>96.87202435820646</v>
      </c>
      <c r="F208">
        <f ca="1"/>
        <v>0</v>
      </c>
      <c r="G208" s="7">
        <f ca="1"/>
        <v>0</v>
      </c>
      <c r="H208">
        <f ca="1"/>
        <v>99.655958066423835</v>
      </c>
      <c r="I208">
        <f ca="1"/>
        <v>-1</v>
      </c>
      <c r="J208">
        <f ca="1"/>
        <v>2.7839337082173756</v>
      </c>
      <c r="K208">
        <f ca="1"/>
        <v>0</v>
      </c>
      <c r="L208">
        <f ca="1"/>
        <v>3.1279756417935403</v>
      </c>
    </row>
    <row r="209" spans="2:12" x14ac:dyDescent="0.3">
      <c r="B209">
        <v>0.19900000000000001</v>
      </c>
      <c r="C209">
        <f ca="1"/>
        <v>-9.7506216531822801E-2</v>
      </c>
      <c r="D209">
        <f ca="1"/>
        <v>1</v>
      </c>
      <c r="E209">
        <f ca="1"/>
        <v>97.679229589086006</v>
      </c>
      <c r="F209">
        <f ca="1"/>
        <v>0</v>
      </c>
      <c r="G209">
        <f ca="1"/>
        <v>0</v>
      </c>
      <c r="H209">
        <f ca="1"/>
        <v>99.655958066423835</v>
      </c>
      <c r="I209">
        <f ca="1"/>
        <v>-1</v>
      </c>
      <c r="J209">
        <f ca="1"/>
        <v>1.9767284773378293</v>
      </c>
      <c r="K209">
        <f ca="1"/>
        <v>0</v>
      </c>
      <c r="L209">
        <f ca="1"/>
        <v>2.3207704109139939</v>
      </c>
    </row>
    <row r="210" spans="2:12" x14ac:dyDescent="0.3">
      <c r="B210">
        <v>0.2</v>
      </c>
      <c r="C210">
        <f ca="1"/>
        <v>-0.12826357679090364</v>
      </c>
      <c r="D210">
        <f ca="1"/>
        <v>1</v>
      </c>
      <c r="E210">
        <f ca="1"/>
        <v>97.078261290588571</v>
      </c>
      <c r="F210">
        <f ca="1"/>
        <v>0</v>
      </c>
      <c r="G210">
        <f ca="1"/>
        <v>0</v>
      </c>
      <c r="H210">
        <f ca="1"/>
        <v>99.655958066423835</v>
      </c>
      <c r="I210">
        <f ca="1"/>
        <v>-1</v>
      </c>
      <c r="J210">
        <f ca="1"/>
        <v>2.577696775835264</v>
      </c>
      <c r="K210">
        <f ca="1"/>
        <v>0</v>
      </c>
      <c r="L210">
        <f ca="1"/>
        <v>2.9217387094114287</v>
      </c>
    </row>
    <row r="211" spans="2:12" x14ac:dyDescent="0.3">
      <c r="B211">
        <v>0.20100000000000001</v>
      </c>
      <c r="C211">
        <f ca="1"/>
        <v>-0.12484369598123948</v>
      </c>
      <c r="D211">
        <f ca="1"/>
        <v>1</v>
      </c>
      <c r="E211">
        <f ca="1"/>
        <v>97.142740345836359</v>
      </c>
      <c r="F211">
        <f ca="1"/>
        <v>0</v>
      </c>
      <c r="G211">
        <f ca="1"/>
        <v>0</v>
      </c>
      <c r="H211">
        <f ca="1"/>
        <v>99.655958066423835</v>
      </c>
      <c r="I211">
        <f ca="1"/>
        <v>-1</v>
      </c>
      <c r="J211">
        <f ca="1"/>
        <v>2.5132177205874768</v>
      </c>
      <c r="K211">
        <f ca="1"/>
        <v>0</v>
      </c>
      <c r="L211">
        <f ca="1"/>
        <v>2.8572596541636415</v>
      </c>
    </row>
    <row r="212" spans="2:12" x14ac:dyDescent="0.3">
      <c r="B212">
        <v>0.20200000000000001</v>
      </c>
      <c r="C212">
        <f ca="1"/>
        <v>-0.16252469665755198</v>
      </c>
      <c r="D212">
        <f ca="1"/>
        <v>1</v>
      </c>
      <c r="E212">
        <f ca="1"/>
        <v>96.411476624967889</v>
      </c>
      <c r="F212">
        <f ca="1"/>
        <v>0</v>
      </c>
      <c r="G212">
        <f ca="1"/>
        <v>0</v>
      </c>
      <c r="H212">
        <f ca="1"/>
        <v>99.655958066423835</v>
      </c>
      <c r="I212">
        <f ca="1"/>
        <v>-1</v>
      </c>
      <c r="J212">
        <f ca="1"/>
        <v>3.244481441455946</v>
      </c>
      <c r="K212">
        <f ca="1"/>
        <v>0</v>
      </c>
      <c r="L212">
        <f ca="1"/>
        <v>3.5885233750321106</v>
      </c>
    </row>
    <row r="213" spans="2:12" x14ac:dyDescent="0.3">
      <c r="B213">
        <v>0.20300000000000001</v>
      </c>
      <c r="C213">
        <f ca="1"/>
        <v>-0.1567180886427571</v>
      </c>
      <c r="D213">
        <f ca="1"/>
        <v>1</v>
      </c>
      <c r="E213">
        <f ca="1"/>
        <v>96.521575943427038</v>
      </c>
      <c r="F213">
        <f ca="1"/>
        <v>0</v>
      </c>
      <c r="G213">
        <f ca="1"/>
        <v>0</v>
      </c>
      <c r="H213">
        <f ca="1"/>
        <v>99.655958066423835</v>
      </c>
      <c r="I213">
        <f ca="1"/>
        <v>-1</v>
      </c>
      <c r="J213">
        <f ca="1"/>
        <v>3.1343821229967972</v>
      </c>
      <c r="K213">
        <f ca="1"/>
        <v>0</v>
      </c>
      <c r="L213">
        <f ca="1"/>
        <v>3.4784240565729618</v>
      </c>
    </row>
    <row r="214" spans="2:12" x14ac:dyDescent="0.3">
      <c r="B214">
        <v>0.20400000000000001</v>
      </c>
      <c r="C214">
        <f ca="1"/>
        <v>-0.16666442157195294</v>
      </c>
      <c r="D214">
        <f ca="1"/>
        <v>1</v>
      </c>
      <c r="E214">
        <f ca="1"/>
        <v>96.327833071791275</v>
      </c>
      <c r="F214">
        <f ca="1"/>
        <v>0</v>
      </c>
      <c r="G214">
        <f ca="1"/>
        <v>0</v>
      </c>
      <c r="H214">
        <f ca="1"/>
        <v>99.655958066423835</v>
      </c>
      <c r="I214">
        <f ca="1"/>
        <v>-1</v>
      </c>
      <c r="J214">
        <f ca="1"/>
        <v>3.3281249946325602</v>
      </c>
      <c r="K214">
        <f ca="1"/>
        <v>0</v>
      </c>
      <c r="L214">
        <f ca="1"/>
        <v>3.6721669282087248</v>
      </c>
    </row>
    <row r="215" spans="2:12" x14ac:dyDescent="0.3">
      <c r="B215">
        <v>0.20500000000000002</v>
      </c>
      <c r="C215">
        <f ca="1"/>
        <v>-0.21507069858672564</v>
      </c>
      <c r="D215">
        <f ca="1"/>
        <v>1</v>
      </c>
      <c r="E215">
        <f ca="1"/>
        <v>95.397850453911687</v>
      </c>
      <c r="F215">
        <f ca="1"/>
        <v>0</v>
      </c>
      <c r="G215">
        <f ca="1"/>
        <v>0</v>
      </c>
      <c r="H215">
        <f ca="1"/>
        <v>99.655958066423835</v>
      </c>
      <c r="I215">
        <f ca="1"/>
        <v>-1</v>
      </c>
      <c r="J215">
        <f ca="1"/>
        <v>4.2581076125121484</v>
      </c>
      <c r="K215">
        <f ca="1"/>
        <v>0</v>
      </c>
      <c r="L215">
        <f ca="1"/>
        <v>4.6021495460883131</v>
      </c>
    </row>
    <row r="216" spans="2:12" x14ac:dyDescent="0.3">
      <c r="B216">
        <v>0.20600000000000002</v>
      </c>
      <c r="C216">
        <f ca="1"/>
        <v>-0.23918144965190366</v>
      </c>
      <c r="D216">
        <f ca="1"/>
        <v>1</v>
      </c>
      <c r="E216">
        <f ca="1"/>
        <v>94.937036298064385</v>
      </c>
      <c r="F216">
        <f ca="1"/>
        <v>0</v>
      </c>
      <c r="G216">
        <f ca="1"/>
        <v>0</v>
      </c>
      <c r="H216">
        <f ca="1"/>
        <v>99.655958066423835</v>
      </c>
      <c r="I216">
        <f ca="1"/>
        <v>-1</v>
      </c>
      <c r="J216">
        <f ca="1"/>
        <v>4.7189217683594507</v>
      </c>
      <c r="K216">
        <f ca="1"/>
        <v>0</v>
      </c>
      <c r="L216">
        <f ca="1"/>
        <v>5.0629637019356153</v>
      </c>
    </row>
    <row r="217" spans="2:12" x14ac:dyDescent="0.3">
      <c r="B217">
        <v>0.20700000000000002</v>
      </c>
      <c r="C217">
        <f ca="1"/>
        <v>-0.24948937801240628</v>
      </c>
      <c r="D217">
        <f ca="1"/>
        <v>1</v>
      </c>
      <c r="E217">
        <f ca="1"/>
        <v>94.739622261952064</v>
      </c>
      <c r="F217">
        <f ca="1"/>
        <v>0</v>
      </c>
      <c r="G217">
        <f ca="1"/>
        <v>0</v>
      </c>
      <c r="H217">
        <f ca="1"/>
        <v>99.655958066423835</v>
      </c>
      <c r="I217">
        <f ca="1"/>
        <v>-1</v>
      </c>
      <c r="J217">
        <f ca="1"/>
        <v>4.9163358044717711</v>
      </c>
      <c r="K217">
        <f ca="1"/>
        <v>0</v>
      </c>
      <c r="L217">
        <f ca="1"/>
        <v>5.2603777380479357</v>
      </c>
    </row>
    <row r="218" spans="2:12" x14ac:dyDescent="0.3">
      <c r="B218">
        <v>0.20800000000000002</v>
      </c>
      <c r="C218">
        <f ca="1"/>
        <v>-0.25051611971820692</v>
      </c>
      <c r="D218">
        <f ca="1"/>
        <v>1</v>
      </c>
      <c r="E218">
        <f ca="1"/>
        <v>94.718275250580334</v>
      </c>
      <c r="F218">
        <f ca="1"/>
        <v>0</v>
      </c>
      <c r="G218">
        <f ca="1"/>
        <v>0</v>
      </c>
      <c r="H218">
        <f ca="1"/>
        <v>99.655958066423835</v>
      </c>
      <c r="I218">
        <f ca="1"/>
        <v>-1</v>
      </c>
      <c r="J218">
        <f ca="1"/>
        <v>4.9376828158435018</v>
      </c>
      <c r="K218">
        <f ca="1"/>
        <v>0</v>
      </c>
      <c r="L218">
        <f ca="1"/>
        <v>5.2817247494196664</v>
      </c>
    </row>
    <row r="219" spans="2:12" x14ac:dyDescent="0.3">
      <c r="B219">
        <v>0.20899999999999999</v>
      </c>
      <c r="C219">
        <f ca="1"/>
        <v>-0.24733587574426449</v>
      </c>
      <c r="D219">
        <f ca="1"/>
        <v>1</v>
      </c>
      <c r="E219">
        <f ca="1"/>
        <v>94.776644307140373</v>
      </c>
      <c r="F219">
        <f ca="1"/>
        <v>0</v>
      </c>
      <c r="G219">
        <f ca="1"/>
        <v>0</v>
      </c>
      <c r="H219">
        <f ca="1"/>
        <v>99.655958066423835</v>
      </c>
      <c r="I219">
        <f ca="1"/>
        <v>-1</v>
      </c>
      <c r="J219">
        <f ca="1"/>
        <v>4.8793137592834626</v>
      </c>
      <c r="K219">
        <f ca="1"/>
        <v>0</v>
      </c>
      <c r="L219">
        <f ca="1"/>
        <v>5.2233556928596272</v>
      </c>
    </row>
    <row r="220" spans="2:12" x14ac:dyDescent="0.3">
      <c r="B220">
        <v>0.21</v>
      </c>
      <c r="C220">
        <f ca="1"/>
        <v>-0.24243627324770151</v>
      </c>
      <c r="D220">
        <f ca="1"/>
        <v>1</v>
      </c>
      <c r="E220">
        <f ca="1"/>
        <v>94.867666030686692</v>
      </c>
      <c r="F220">
        <f ca="1"/>
        <v>0</v>
      </c>
      <c r="G220">
        <f ca="1"/>
        <v>0</v>
      </c>
      <c r="H220">
        <f ca="1"/>
        <v>99.655958066423835</v>
      </c>
      <c r="I220">
        <f ca="1"/>
        <v>-1</v>
      </c>
      <c r="J220">
        <f ca="1"/>
        <v>4.7882920357371432</v>
      </c>
      <c r="K220">
        <f ca="1"/>
        <v>0</v>
      </c>
      <c r="L220">
        <f ca="1"/>
        <v>5.1323339693133079</v>
      </c>
    </row>
    <row r="221" spans="2:12" x14ac:dyDescent="0.3">
      <c r="B221">
        <v>0.21099999999999999</v>
      </c>
      <c r="C221">
        <f ca="1"/>
        <v>-0.27131068514566714</v>
      </c>
      <c r="D221">
        <f ca="1"/>
        <v>1</v>
      </c>
      <c r="E221">
        <f ca="1"/>
        <v>94.319508851557515</v>
      </c>
      <c r="F221">
        <f ca="1"/>
        <v>0</v>
      </c>
      <c r="G221">
        <f ca="1"/>
        <v>0</v>
      </c>
      <c r="H221">
        <f ca="1"/>
        <v>99.655958066423835</v>
      </c>
      <c r="I221">
        <f ca="1"/>
        <v>-1</v>
      </c>
      <c r="J221">
        <f ca="1"/>
        <v>5.3364492148663203</v>
      </c>
      <c r="K221">
        <f ca="1"/>
        <v>0</v>
      </c>
      <c r="L221">
        <f ca="1"/>
        <v>5.6804911484424849</v>
      </c>
    </row>
    <row r="222" spans="2:12" x14ac:dyDescent="0.3">
      <c r="B222">
        <v>0.21199999999999999</v>
      </c>
      <c r="C222">
        <f ca="1"/>
        <v>-0.28646507026982293</v>
      </c>
      <c r="D222">
        <f ca="1"/>
        <v>1</v>
      </c>
      <c r="E222">
        <f ca="1"/>
        <v>94.0321901388985</v>
      </c>
      <c r="F222">
        <f ca="1"/>
        <v>0</v>
      </c>
      <c r="G222">
        <f ca="1"/>
        <v>0</v>
      </c>
      <c r="H222">
        <f ca="1"/>
        <v>99.655958066423835</v>
      </c>
      <c r="I222">
        <f ca="1"/>
        <v>-1</v>
      </c>
      <c r="J222">
        <f ca="1"/>
        <v>5.6237679275253356</v>
      </c>
      <c r="K222">
        <f ca="1"/>
        <v>0</v>
      </c>
      <c r="L222">
        <f ca="1"/>
        <v>5.9678098611015002</v>
      </c>
    </row>
    <row r="223" spans="2:12" x14ac:dyDescent="0.3">
      <c r="B223">
        <v>0.21299999999999999</v>
      </c>
      <c r="C223">
        <f ca="1"/>
        <v>-0.28056270280514556</v>
      </c>
      <c r="D223">
        <f ca="1"/>
        <v>1</v>
      </c>
      <c r="E223">
        <f ca="1"/>
        <v>94.141375344052264</v>
      </c>
      <c r="F223">
        <f ca="1"/>
        <v>0</v>
      </c>
      <c r="G223">
        <f ca="1"/>
        <v>0</v>
      </c>
      <c r="H223">
        <f ca="1"/>
        <v>99.655958066423835</v>
      </c>
      <c r="I223">
        <f ca="1"/>
        <v>-1</v>
      </c>
      <c r="J223">
        <f ca="1"/>
        <v>5.5145827223715713</v>
      </c>
      <c r="K223">
        <f ca="1"/>
        <v>0</v>
      </c>
      <c r="L223">
        <f ca="1"/>
        <v>5.858624655947736</v>
      </c>
    </row>
    <row r="224" spans="2:12" x14ac:dyDescent="0.3">
      <c r="B224">
        <v>0.214</v>
      </c>
      <c r="C224">
        <f ca="1"/>
        <v>-0.28391899312027036</v>
      </c>
      <c r="D224">
        <f ca="1"/>
        <v>1</v>
      </c>
      <c r="E224">
        <f ca="1"/>
        <v>94.076321846249286</v>
      </c>
      <c r="F224">
        <f ca="1"/>
        <v>0</v>
      </c>
      <c r="G224">
        <f ca="1"/>
        <v>0</v>
      </c>
      <c r="H224">
        <f ca="1"/>
        <v>99.655958066423835</v>
      </c>
      <c r="I224">
        <f ca="1"/>
        <v>-1</v>
      </c>
      <c r="J224">
        <f ca="1"/>
        <v>5.5796362201745495</v>
      </c>
      <c r="K224">
        <f ca="1"/>
        <v>0</v>
      </c>
      <c r="L224">
        <f ca="1"/>
        <v>5.9236781537507142</v>
      </c>
    </row>
    <row r="225" spans="2:12" x14ac:dyDescent="0.3">
      <c r="B225">
        <v>0.215</v>
      </c>
      <c r="C225">
        <f ca="1"/>
        <v>-0.26691245906438449</v>
      </c>
      <c r="D225">
        <f ca="1"/>
        <v>1</v>
      </c>
      <c r="E225">
        <f ca="1"/>
        <v>94.394961159128172</v>
      </c>
      <c r="F225">
        <f ca="1"/>
        <v>0</v>
      </c>
      <c r="G225">
        <f ca="1"/>
        <v>0</v>
      </c>
      <c r="H225">
        <f ca="1"/>
        <v>99.655958066423835</v>
      </c>
      <c r="I225">
        <f ca="1"/>
        <v>-1</v>
      </c>
      <c r="J225">
        <f ca="1"/>
        <v>5.260996907295663</v>
      </c>
      <c r="K225">
        <f ca="1"/>
        <v>0</v>
      </c>
      <c r="L225">
        <f ca="1"/>
        <v>5.6050388408718277</v>
      </c>
    </row>
    <row r="226" spans="2:12" x14ac:dyDescent="0.3">
      <c r="B226">
        <v>0.216</v>
      </c>
      <c r="C226">
        <f ca="1"/>
        <v>-0.28893579340890535</v>
      </c>
      <c r="D226">
        <f ca="1"/>
        <v>1</v>
      </c>
      <c r="E226">
        <f ca="1"/>
        <v>93.978217557604864</v>
      </c>
      <c r="F226">
        <f ca="1"/>
        <v>0</v>
      </c>
      <c r="G226">
        <f ca="1"/>
        <v>0</v>
      </c>
      <c r="H226">
        <f ca="1"/>
        <v>99.655958066423835</v>
      </c>
      <c r="I226">
        <f ca="1"/>
        <v>-1</v>
      </c>
      <c r="J226">
        <f ca="1"/>
        <v>5.677740508818971</v>
      </c>
      <c r="K226">
        <f ca="1"/>
        <v>0</v>
      </c>
      <c r="L226">
        <f ca="1"/>
        <v>6.0217824423951356</v>
      </c>
    </row>
    <row r="227" spans="2:12" x14ac:dyDescent="0.3">
      <c r="B227">
        <v>0.217</v>
      </c>
      <c r="C227">
        <f ca="1"/>
        <v>-0.26456614443757975</v>
      </c>
      <c r="D227">
        <f ca="1"/>
        <v>1</v>
      </c>
      <c r="E227">
        <f ca="1"/>
        <v>94.435490114461302</v>
      </c>
      <c r="F227">
        <f ca="1"/>
        <v>0</v>
      </c>
      <c r="G227">
        <f ca="1"/>
        <v>0</v>
      </c>
      <c r="H227">
        <f ca="1"/>
        <v>99.655958066423835</v>
      </c>
      <c r="I227">
        <f ca="1"/>
        <v>-1</v>
      </c>
      <c r="J227">
        <f ca="1"/>
        <v>5.220467951962533</v>
      </c>
      <c r="K227">
        <f ca="1"/>
        <v>0</v>
      </c>
      <c r="L227">
        <f ca="1"/>
        <v>5.5645098855386976</v>
      </c>
    </row>
    <row r="228" spans="2:12" x14ac:dyDescent="0.3">
      <c r="B228">
        <v>0.218</v>
      </c>
      <c r="C228">
        <f ca="1"/>
        <v>-0.26256138016887176</v>
      </c>
      <c r="D228">
        <f ca="1"/>
        <v>1</v>
      </c>
      <c r="E228">
        <f ca="1"/>
        <v>94.471472437263998</v>
      </c>
      <c r="F228">
        <f ca="1"/>
        <v>0</v>
      </c>
      <c r="G228">
        <f ca="1"/>
        <v>0</v>
      </c>
      <c r="H228">
        <f ca="1"/>
        <v>99.655958066423835</v>
      </c>
      <c r="I228">
        <f ca="1"/>
        <v>-1</v>
      </c>
      <c r="J228">
        <f ca="1"/>
        <v>5.1844856291598376</v>
      </c>
      <c r="K228">
        <f ca="1"/>
        <v>0</v>
      </c>
      <c r="L228">
        <f ca="1"/>
        <v>5.5285275627360022</v>
      </c>
    </row>
    <row r="229" spans="2:12" x14ac:dyDescent="0.3">
      <c r="B229">
        <v>0.219</v>
      </c>
      <c r="C229">
        <f ca="1"/>
        <v>-0.22210485845290423</v>
      </c>
      <c r="D229">
        <f ca="1"/>
        <v>1</v>
      </c>
      <c r="E229">
        <f ca="1"/>
        <v>95.237065955928784</v>
      </c>
      <c r="F229">
        <f ca="1"/>
        <v>0</v>
      </c>
      <c r="G229">
        <f ca="1"/>
        <v>0</v>
      </c>
      <c r="H229">
        <f ca="1"/>
        <v>99.655958066423835</v>
      </c>
      <c r="I229">
        <f ca="1"/>
        <v>-1</v>
      </c>
      <c r="J229">
        <f ca="1"/>
        <v>4.4188921104950509</v>
      </c>
      <c r="K229">
        <f ca="1"/>
        <v>0</v>
      </c>
      <c r="L229">
        <f ca="1"/>
        <v>4.7629340440712156</v>
      </c>
    </row>
    <row r="230" spans="2:12" x14ac:dyDescent="0.3">
      <c r="B230">
        <v>0.22</v>
      </c>
      <c r="C230">
        <f ca="1"/>
        <v>-0.19619162259902617</v>
      </c>
      <c r="D230">
        <f ca="1"/>
        <v>1</v>
      </c>
      <c r="E230">
        <f ca="1"/>
        <v>95.730012685185457</v>
      </c>
      <c r="F230">
        <f ca="1"/>
        <v>0</v>
      </c>
      <c r="G230">
        <f ca="1"/>
        <v>0</v>
      </c>
      <c r="H230">
        <f ca="1"/>
        <v>99.655958066423835</v>
      </c>
      <c r="I230">
        <f ca="1"/>
        <v>-1</v>
      </c>
      <c r="J230">
        <f ca="1"/>
        <v>3.9259453812383782</v>
      </c>
      <c r="K230">
        <f ca="1"/>
        <v>0</v>
      </c>
      <c r="L230">
        <f ca="1"/>
        <v>4.2699873148145429</v>
      </c>
    </row>
    <row r="231" spans="2:12" x14ac:dyDescent="0.3">
      <c r="B231">
        <v>0.221</v>
      </c>
      <c r="C231">
        <f ca="1"/>
        <v>-0.18255828754422154</v>
      </c>
      <c r="D231">
        <f ca="1"/>
        <v>1</v>
      </c>
      <c r="E231">
        <f ca="1"/>
        <v>95.989472930320957</v>
      </c>
      <c r="F231">
        <f ca="1"/>
        <v>0</v>
      </c>
      <c r="G231">
        <f ca="1"/>
        <v>0</v>
      </c>
      <c r="H231">
        <f ca="1"/>
        <v>99.655958066423835</v>
      </c>
      <c r="I231">
        <f ca="1"/>
        <v>-1</v>
      </c>
      <c r="J231">
        <f ca="1"/>
        <v>3.6664851361028781</v>
      </c>
      <c r="K231">
        <f ca="1"/>
        <v>0</v>
      </c>
      <c r="L231">
        <f ca="1"/>
        <v>4.0105270696790427</v>
      </c>
    </row>
    <row r="232" spans="2:12" x14ac:dyDescent="0.3">
      <c r="B232">
        <v>0.222</v>
      </c>
      <c r="C232">
        <f ca="1"/>
        <v>-0.20469729061614714</v>
      </c>
      <c r="D232">
        <f ca="1"/>
        <v>1</v>
      </c>
      <c r="E232">
        <f ca="1"/>
        <v>95.563478964043284</v>
      </c>
      <c r="F232">
        <f ca="1"/>
        <v>0</v>
      </c>
      <c r="G232">
        <f ca="1"/>
        <v>0</v>
      </c>
      <c r="H232">
        <f ca="1"/>
        <v>99.655958066423835</v>
      </c>
      <c r="I232">
        <f ca="1"/>
        <v>-1</v>
      </c>
      <c r="J232">
        <f ca="1"/>
        <v>4.0924791023805511</v>
      </c>
      <c r="K232">
        <f ca="1"/>
        <v>0</v>
      </c>
      <c r="L232">
        <f ca="1"/>
        <v>4.4365210359567158</v>
      </c>
    </row>
    <row r="233" spans="2:12" x14ac:dyDescent="0.3">
      <c r="B233">
        <v>0.223</v>
      </c>
      <c r="C233">
        <f ca="1"/>
        <v>-0.23606695064835131</v>
      </c>
      <c r="D233">
        <f ca="1"/>
        <v>1</v>
      </c>
      <c r="E233">
        <f ca="1"/>
        <v>94.963897766085964</v>
      </c>
      <c r="F233">
        <f ca="1"/>
        <v>0</v>
      </c>
      <c r="G233">
        <f ca="1"/>
        <v>0</v>
      </c>
      <c r="H233">
        <f ca="1"/>
        <v>99.655958066423835</v>
      </c>
      <c r="I233">
        <f ca="1"/>
        <v>-1</v>
      </c>
      <c r="J233">
        <f ca="1"/>
        <v>4.6920603003378716</v>
      </c>
      <c r="K233">
        <f ca="1"/>
        <v>0</v>
      </c>
      <c r="L233">
        <f ca="1"/>
        <v>5.0361022339140362</v>
      </c>
    </row>
    <row r="234" spans="2:12" x14ac:dyDescent="0.3">
      <c r="B234">
        <v>0.224</v>
      </c>
      <c r="C234">
        <f ca="1"/>
        <v>-0.20101314059704983</v>
      </c>
      <c r="D234">
        <f ca="1"/>
        <v>1</v>
      </c>
      <c r="E234">
        <f ca="1"/>
        <v>95.630093670322296</v>
      </c>
      <c r="F234">
        <f ca="1"/>
        <v>0</v>
      </c>
      <c r="G234">
        <f ca="1"/>
        <v>0</v>
      </c>
      <c r="H234">
        <f ca="1"/>
        <v>99.655958066423835</v>
      </c>
      <c r="I234">
        <f ca="1"/>
        <v>-1</v>
      </c>
      <c r="J234">
        <f ca="1"/>
        <v>4.0258643961015395</v>
      </c>
      <c r="K234">
        <f ca="1"/>
        <v>0</v>
      </c>
      <c r="L234">
        <f ca="1"/>
        <v>4.3699063296777041</v>
      </c>
    </row>
    <row r="235" spans="2:12" x14ac:dyDescent="0.3">
      <c r="B235">
        <v>0.22500000000000001</v>
      </c>
      <c r="C235">
        <f ca="1"/>
        <v>-0.23585334027465069</v>
      </c>
      <c r="D235">
        <f ca="1"/>
        <v>1</v>
      </c>
      <c r="E235">
        <f ca="1"/>
        <v>94.964156265265132</v>
      </c>
      <c r="F235">
        <f ca="1"/>
        <v>0</v>
      </c>
      <c r="G235">
        <f ca="1"/>
        <v>0</v>
      </c>
      <c r="H235">
        <f ca="1"/>
        <v>99.655958066423835</v>
      </c>
      <c r="I235">
        <f ca="1"/>
        <v>-1</v>
      </c>
      <c r="J235">
        <f ca="1"/>
        <v>4.6918018011587037</v>
      </c>
      <c r="K235">
        <f ca="1"/>
        <v>0</v>
      </c>
      <c r="L235">
        <f ca="1"/>
        <v>5.0358437347348683</v>
      </c>
    </row>
    <row r="236" spans="2:12" x14ac:dyDescent="0.3">
      <c r="B236">
        <v>0.22600000000000001</v>
      </c>
      <c r="C236">
        <f ca="1"/>
        <v>-0.25420521859441703</v>
      </c>
      <c r="D236">
        <f ca="1"/>
        <v>1</v>
      </c>
      <c r="E236">
        <f ca="1"/>
        <v>94.614348711675973</v>
      </c>
      <c r="F236">
        <f ca="1"/>
        <v>0</v>
      </c>
      <c r="G236">
        <f ca="1"/>
        <v>0</v>
      </c>
      <c r="H236">
        <f ca="1"/>
        <v>99.655958066423835</v>
      </c>
      <c r="I236">
        <f ca="1"/>
        <v>-1</v>
      </c>
      <c r="J236">
        <f ca="1"/>
        <v>5.0416093547478624</v>
      </c>
      <c r="K236">
        <f ca="1"/>
        <v>0</v>
      </c>
      <c r="L236">
        <f ca="1"/>
        <v>5.3856512883240271</v>
      </c>
    </row>
    <row r="237" spans="2:12" x14ac:dyDescent="0.3">
      <c r="B237">
        <v>0.22700000000000001</v>
      </c>
      <c r="C237">
        <f ca="1"/>
        <v>-0.25589431250730083</v>
      </c>
      <c r="D237">
        <f ca="1"/>
        <v>1</v>
      </c>
      <c r="E237">
        <f ca="1"/>
        <v>94.580499976823361</v>
      </c>
      <c r="F237">
        <f ca="1"/>
        <v>0</v>
      </c>
      <c r="G237">
        <f ca="1"/>
        <v>0</v>
      </c>
      <c r="H237">
        <f ca="1"/>
        <v>99.655958066423835</v>
      </c>
      <c r="I237">
        <f ca="1"/>
        <v>-1</v>
      </c>
      <c r="J237">
        <f ca="1"/>
        <v>5.075458089600474</v>
      </c>
      <c r="K237">
        <f ca="1"/>
        <v>0</v>
      </c>
      <c r="L237">
        <f ca="1"/>
        <v>5.4195000231766386</v>
      </c>
    </row>
    <row r="238" spans="2:12" x14ac:dyDescent="0.3">
      <c r="B238">
        <v>0.22800000000000001</v>
      </c>
      <c r="C238">
        <f ca="1"/>
        <v>-0.22854287891298472</v>
      </c>
      <c r="D238">
        <f ca="1"/>
        <v>1</v>
      </c>
      <c r="E238">
        <f ca="1"/>
        <v>95.097398161802104</v>
      </c>
      <c r="F238">
        <f ca="1"/>
        <v>0</v>
      </c>
      <c r="G238">
        <f ca="1"/>
        <v>0</v>
      </c>
      <c r="H238">
        <f ca="1"/>
        <v>99.655958066423835</v>
      </c>
      <c r="I238">
        <f ca="1"/>
        <v>-1</v>
      </c>
      <c r="J238">
        <f ca="1"/>
        <v>4.5585599046217311</v>
      </c>
      <c r="K238">
        <f ca="1"/>
        <v>0</v>
      </c>
      <c r="L238">
        <f ca="1"/>
        <v>4.9026018381978957</v>
      </c>
    </row>
    <row r="239" spans="2:12" x14ac:dyDescent="0.3">
      <c r="B239">
        <v>0.22900000000000001</v>
      </c>
      <c r="C239">
        <f ca="1"/>
        <v>-0.28146868281464071</v>
      </c>
      <c r="D239">
        <f ca="1"/>
        <v>1</v>
      </c>
      <c r="E239">
        <f ca="1"/>
        <v>94.094203885177279</v>
      </c>
      <c r="F239">
        <f ca="1"/>
        <v>0</v>
      </c>
      <c r="G239">
        <f ca="1"/>
        <v>0</v>
      </c>
      <c r="H239">
        <f ca="1"/>
        <v>99.655958066423835</v>
      </c>
      <c r="I239">
        <f ca="1"/>
        <v>-1</v>
      </c>
      <c r="J239">
        <f ca="1"/>
        <v>5.5617541812465561</v>
      </c>
      <c r="K239">
        <f ca="1"/>
        <v>0</v>
      </c>
      <c r="L239">
        <f ca="1"/>
        <v>5.9057961148227207</v>
      </c>
    </row>
    <row r="240" spans="2:12" x14ac:dyDescent="0.3">
      <c r="B240">
        <v>0.23</v>
      </c>
      <c r="C240">
        <f ca="1"/>
        <v>-0.28466713875646799</v>
      </c>
      <c r="D240">
        <f ca="1"/>
        <v>1</v>
      </c>
      <c r="E240">
        <f ca="1"/>
        <v>94.032151238040655</v>
      </c>
      <c r="F240">
        <f ca="1"/>
        <v>0</v>
      </c>
      <c r="G240">
        <f ca="1"/>
        <v>0</v>
      </c>
      <c r="H240">
        <f ca="1"/>
        <v>99.655958066423835</v>
      </c>
      <c r="I240">
        <f ca="1"/>
        <v>-1</v>
      </c>
      <c r="J240">
        <f ca="1"/>
        <v>5.6238068283831808</v>
      </c>
      <c r="K240">
        <f ca="1"/>
        <v>0</v>
      </c>
      <c r="L240">
        <f ca="1"/>
        <v>5.9678487619593454</v>
      </c>
    </row>
    <row r="241" spans="2:12" x14ac:dyDescent="0.3">
      <c r="B241">
        <v>0.23100000000000001</v>
      </c>
      <c r="C241">
        <f ca="1"/>
        <v>-0.21478050335839255</v>
      </c>
      <c r="D241">
        <f ca="1"/>
        <v>1</v>
      </c>
      <c r="E241">
        <f ca="1"/>
        <v>95.353790549635917</v>
      </c>
      <c r="F241">
        <f ca="1"/>
        <v>0</v>
      </c>
      <c r="G241">
        <f ca="1"/>
        <v>0</v>
      </c>
      <c r="H241">
        <f ca="1"/>
        <v>99.655958066423835</v>
      </c>
      <c r="I241">
        <f ca="1"/>
        <v>-1</v>
      </c>
      <c r="J241">
        <f ca="1"/>
        <v>4.3021675167879181</v>
      </c>
      <c r="K241">
        <f ca="1"/>
        <v>0</v>
      </c>
      <c r="L241">
        <f ca="1"/>
        <v>4.6462094503640827</v>
      </c>
    </row>
    <row r="242" spans="2:12" x14ac:dyDescent="0.3">
      <c r="B242">
        <v>0.23200000000000001</v>
      </c>
      <c r="C242">
        <f ca="1"/>
        <v>-0.1835456068829692</v>
      </c>
      <c r="D242">
        <f ca="1"/>
        <v>1</v>
      </c>
      <c r="E242">
        <f ca="1"/>
        <v>95.949409156858977</v>
      </c>
      <c r="F242">
        <f ca="1"/>
        <v>0</v>
      </c>
      <c r="G242">
        <f ca="1"/>
        <v>0</v>
      </c>
      <c r="H242">
        <f ca="1"/>
        <v>99.655958066423835</v>
      </c>
      <c r="I242">
        <f ca="1"/>
        <v>-1</v>
      </c>
      <c r="J242">
        <f ca="1"/>
        <v>3.7065489095648587</v>
      </c>
      <c r="K242">
        <f ca="1"/>
        <v>0</v>
      </c>
      <c r="L242">
        <f ca="1"/>
        <v>4.0505908431410234</v>
      </c>
    </row>
    <row r="243" spans="2:12" x14ac:dyDescent="0.3">
      <c r="B243">
        <v>0.23300000000000001</v>
      </c>
      <c r="C243">
        <f ca="1"/>
        <v>-0.23558711853627937</v>
      </c>
      <c r="D243">
        <f ca="1"/>
        <v>1</v>
      </c>
      <c r="E243">
        <f ca="1"/>
        <v>94.954018845938506</v>
      </c>
      <c r="F243">
        <f ca="1"/>
        <v>0</v>
      </c>
      <c r="G243">
        <f ca="1"/>
        <v>0</v>
      </c>
      <c r="H243">
        <f ca="1"/>
        <v>99.655958066423835</v>
      </c>
      <c r="I243">
        <f ca="1"/>
        <v>-1</v>
      </c>
      <c r="J243">
        <f ca="1"/>
        <v>4.701939220485329</v>
      </c>
      <c r="K243">
        <f ca="1"/>
        <v>0</v>
      </c>
      <c r="L243">
        <f ca="1"/>
        <v>5.0459811540614936</v>
      </c>
    </row>
    <row r="244" spans="2:12" x14ac:dyDescent="0.3">
      <c r="B244">
        <v>0.23400000000000001</v>
      </c>
      <c r="C244">
        <f ca="1"/>
        <v>-0.22918234449606642</v>
      </c>
      <c r="D244">
        <f ca="1"/>
        <v>1</v>
      </c>
      <c r="E244">
        <f ca="1"/>
        <v>95.07382709306323</v>
      </c>
      <c r="F244">
        <f ca="1"/>
        <v>0</v>
      </c>
      <c r="G244">
        <f ca="1"/>
        <v>0</v>
      </c>
      <c r="H244">
        <f ca="1"/>
        <v>99.655958066423835</v>
      </c>
      <c r="I244">
        <f ca="1"/>
        <v>-1</v>
      </c>
      <c r="J244">
        <f ca="1"/>
        <v>4.5821309733606057</v>
      </c>
      <c r="K244">
        <f ca="1"/>
        <v>0</v>
      </c>
      <c r="L244">
        <f ca="1"/>
        <v>4.9261729069367703</v>
      </c>
    </row>
    <row r="245" spans="2:12" x14ac:dyDescent="0.3">
      <c r="B245">
        <v>0.23500000000000001</v>
      </c>
      <c r="C245">
        <f ca="1"/>
        <v>-0.20414660700774259</v>
      </c>
      <c r="D245">
        <f ca="1"/>
        <v>1</v>
      </c>
      <c r="E245">
        <f ca="1"/>
        <v>95.549158580874732</v>
      </c>
      <c r="F245">
        <f ca="1"/>
        <v>0</v>
      </c>
      <c r="G245">
        <f ca="1"/>
        <v>0</v>
      </c>
      <c r="H245">
        <f ca="1"/>
        <v>99.655958066423835</v>
      </c>
      <c r="I245">
        <f ca="1"/>
        <v>-1</v>
      </c>
      <c r="J245">
        <f ca="1"/>
        <v>4.1067994855491037</v>
      </c>
      <c r="K245">
        <f ca="1"/>
        <v>0</v>
      </c>
      <c r="L245">
        <f ca="1"/>
        <v>4.4508414191252683</v>
      </c>
    </row>
    <row r="246" spans="2:12" x14ac:dyDescent="0.3">
      <c r="B246">
        <v>0.23600000000000002</v>
      </c>
      <c r="C246">
        <f ca="1"/>
        <v>-0.22348636127321267</v>
      </c>
      <c r="D246">
        <f ca="1"/>
        <v>1</v>
      </c>
      <c r="E246">
        <f ca="1"/>
        <v>95.178389381520759</v>
      </c>
      <c r="F246">
        <f ca="1"/>
        <v>0</v>
      </c>
      <c r="G246">
        <f ca="1"/>
        <v>0</v>
      </c>
      <c r="H246">
        <f ca="1"/>
        <v>99.655958066423835</v>
      </c>
      <c r="I246">
        <f ca="1"/>
        <v>-1</v>
      </c>
      <c r="J246">
        <f ca="1"/>
        <v>4.4775686849030762</v>
      </c>
      <c r="K246">
        <f ca="1"/>
        <v>0</v>
      </c>
      <c r="L246">
        <f ca="1"/>
        <v>4.8216106184792409</v>
      </c>
    </row>
    <row r="247" spans="2:12" x14ac:dyDescent="0.3">
      <c r="B247">
        <v>0.23700000000000002</v>
      </c>
      <c r="C247">
        <f ca="1"/>
        <v>-0.19353830861380214</v>
      </c>
      <c r="D247">
        <f ca="1"/>
        <v>1</v>
      </c>
      <c r="E247">
        <f ca="1"/>
        <v>95.748266577278912</v>
      </c>
      <c r="F247">
        <f ca="1"/>
        <v>0</v>
      </c>
      <c r="G247">
        <f ca="1"/>
        <v>0</v>
      </c>
      <c r="H247">
        <f ca="1"/>
        <v>99.655958066423835</v>
      </c>
      <c r="I247">
        <f ca="1"/>
        <v>-1</v>
      </c>
      <c r="J247">
        <f ca="1"/>
        <v>3.9076914891449235</v>
      </c>
      <c r="K247">
        <f ca="1"/>
        <v>0</v>
      </c>
      <c r="L247">
        <f ca="1"/>
        <v>4.2517334227210881</v>
      </c>
    </row>
    <row r="248" spans="2:12" x14ac:dyDescent="0.3">
      <c r="B248">
        <v>0.23800000000000002</v>
      </c>
      <c r="C248">
        <f ca="1"/>
        <v>-0.15764646660530338</v>
      </c>
      <c r="D248">
        <f ca="1"/>
        <v>1</v>
      </c>
      <c r="E248">
        <f ca="1"/>
        <v>96.436126985077493</v>
      </c>
      <c r="F248">
        <f ca="1"/>
        <v>0</v>
      </c>
      <c r="G248">
        <f ca="1"/>
        <v>0</v>
      </c>
      <c r="H248">
        <f ca="1"/>
        <v>99.655958066423835</v>
      </c>
      <c r="I248">
        <f ca="1"/>
        <v>-1</v>
      </c>
      <c r="J248">
        <f ca="1"/>
        <v>3.2198310813463422</v>
      </c>
      <c r="K248">
        <f ca="1"/>
        <v>0</v>
      </c>
      <c r="L248">
        <f ca="1"/>
        <v>3.5638730149225069</v>
      </c>
    </row>
    <row r="249" spans="2:12" x14ac:dyDescent="0.3">
      <c r="B249">
        <v>0.23900000000000002</v>
      </c>
      <c r="C249">
        <f ca="1"/>
        <v>-0.13150610213302372</v>
      </c>
      <c r="D249">
        <f ca="1"/>
        <v>1</v>
      </c>
      <c r="E249">
        <f ca="1"/>
        <v>96.939683505400893</v>
      </c>
      <c r="F249">
        <f ca="1"/>
        <v>0</v>
      </c>
      <c r="G249">
        <f ca="1"/>
        <v>0</v>
      </c>
      <c r="H249">
        <f ca="1"/>
        <v>99.655958066423835</v>
      </c>
      <c r="I249">
        <f ca="1"/>
        <v>-1</v>
      </c>
      <c r="J249">
        <f ca="1"/>
        <v>2.7162745610229422</v>
      </c>
      <c r="K249">
        <f ca="1"/>
        <v>0</v>
      </c>
      <c r="L249">
        <f ca="1"/>
        <v>3.0603164945991068</v>
      </c>
    </row>
    <row r="250" spans="2:12" x14ac:dyDescent="0.3">
      <c r="B250">
        <v>0.24</v>
      </c>
      <c r="C250">
        <f ca="1"/>
        <v>-0.11847954444527564</v>
      </c>
      <c r="D250">
        <f ca="1"/>
        <v>1</v>
      </c>
      <c r="E250">
        <f ca="1"/>
        <v>97.190627031438297</v>
      </c>
      <c r="F250">
        <f ca="1"/>
        <v>0</v>
      </c>
      <c r="G250">
        <f ca="1"/>
        <v>0</v>
      </c>
      <c r="H250">
        <f ca="1"/>
        <v>99.655958066423835</v>
      </c>
      <c r="I250">
        <f ca="1"/>
        <v>-1</v>
      </c>
      <c r="J250">
        <f ca="1"/>
        <v>2.4653310349855388</v>
      </c>
      <c r="K250">
        <f ca="1"/>
        <v>0</v>
      </c>
      <c r="L250">
        <f ca="1"/>
        <v>2.8093729685617035</v>
      </c>
    </row>
    <row r="251" spans="2:12" x14ac:dyDescent="0.3">
      <c r="B251">
        <v>0.24099999999999999</v>
      </c>
      <c r="C251">
        <f ca="1"/>
        <v>-0.15134000940217041</v>
      </c>
      <c r="D251">
        <f ca="1"/>
        <v>1</v>
      </c>
      <c r="E251">
        <f ca="1"/>
        <v>96.552044490405279</v>
      </c>
      <c r="F251">
        <f ca="1"/>
        <v>0</v>
      </c>
      <c r="G251">
        <f ca="1"/>
        <v>0</v>
      </c>
      <c r="H251">
        <f ca="1"/>
        <v>99.655958066423835</v>
      </c>
      <c r="I251">
        <f ca="1"/>
        <v>-1</v>
      </c>
      <c r="J251">
        <f ca="1"/>
        <v>3.1039135760185559</v>
      </c>
      <c r="K251">
        <f ca="1"/>
        <v>0</v>
      </c>
      <c r="L251">
        <f ca="1"/>
        <v>3.4479555095947205</v>
      </c>
    </row>
    <row r="252" spans="2:12" x14ac:dyDescent="0.3">
      <c r="B252">
        <v>0.24199999999999999</v>
      </c>
      <c r="C252">
        <f ca="1"/>
        <v>-0.15874874965832828</v>
      </c>
      <c r="D252">
        <f ca="1"/>
        <v>1</v>
      </c>
      <c r="E252">
        <f ca="1"/>
        <v>96.407156465633676</v>
      </c>
      <c r="F252">
        <f ca="1"/>
        <v>0</v>
      </c>
      <c r="G252">
        <f ca="1"/>
        <v>0</v>
      </c>
      <c r="H252">
        <f ca="1"/>
        <v>99.655958066423835</v>
      </c>
      <c r="I252">
        <f ca="1"/>
        <v>-1</v>
      </c>
      <c r="J252">
        <f ca="1"/>
        <v>3.2488016007901592</v>
      </c>
      <c r="K252">
        <f ca="1"/>
        <v>0</v>
      </c>
      <c r="L252">
        <f ca="1"/>
        <v>3.5928435343663239</v>
      </c>
    </row>
    <row r="253" spans="2:12" x14ac:dyDescent="0.3">
      <c r="B253">
        <v>0.24299999999999999</v>
      </c>
      <c r="C253">
        <f ca="1"/>
        <v>-0.17063706651422639</v>
      </c>
      <c r="D253">
        <f ca="1"/>
        <v>1</v>
      </c>
      <c r="E253">
        <f ca="1"/>
        <v>96.176281448746408</v>
      </c>
      <c r="F253">
        <f ca="1"/>
        <v>0</v>
      </c>
      <c r="G253">
        <f ca="1"/>
        <v>0</v>
      </c>
      <c r="H253">
        <f ca="1"/>
        <v>99.655958066423835</v>
      </c>
      <c r="I253">
        <f ca="1"/>
        <v>-1</v>
      </c>
      <c r="J253">
        <f ca="1"/>
        <v>3.479676617677427</v>
      </c>
      <c r="K253">
        <f ca="1"/>
        <v>0</v>
      </c>
      <c r="L253">
        <f ca="1"/>
        <v>3.8237185512535916</v>
      </c>
    </row>
    <row r="254" spans="2:12" x14ac:dyDescent="0.3">
      <c r="B254">
        <v>0.24399999999999999</v>
      </c>
      <c r="C254">
        <f ca="1"/>
        <v>-0.1896777321642189</v>
      </c>
      <c r="D254">
        <f ca="1"/>
        <v>1</v>
      </c>
      <c r="E254">
        <f ca="1"/>
        <v>95.808809653651636</v>
      </c>
      <c r="F254">
        <f ca="1"/>
        <v>0</v>
      </c>
      <c r="G254">
        <f ca="1"/>
        <v>0</v>
      </c>
      <c r="H254">
        <f ca="1"/>
        <v>99.655958066423835</v>
      </c>
      <c r="I254">
        <f ca="1"/>
        <v>-1</v>
      </c>
      <c r="J254">
        <f ca="1"/>
        <v>3.8471484127721993</v>
      </c>
      <c r="K254">
        <f ca="1"/>
        <v>0</v>
      </c>
      <c r="L254">
        <f ca="1"/>
        <v>4.191190346348364</v>
      </c>
    </row>
    <row r="255" spans="2:12" x14ac:dyDescent="0.3">
      <c r="B255">
        <v>0.245</v>
      </c>
      <c r="C255">
        <f ca="1"/>
        <v>-0.22490010905190677</v>
      </c>
      <c r="D255">
        <f ca="1"/>
        <v>1</v>
      </c>
      <c r="E255">
        <f ca="1"/>
        <v>95.134355813161392</v>
      </c>
      <c r="F255">
        <f ca="1"/>
        <v>0</v>
      </c>
      <c r="G255">
        <f ca="1"/>
        <v>0</v>
      </c>
      <c r="H255">
        <f ca="1"/>
        <v>99.655958066423835</v>
      </c>
      <c r="I255">
        <f ca="1"/>
        <v>-1</v>
      </c>
      <c r="J255">
        <f ca="1"/>
        <v>4.5216022532624436</v>
      </c>
      <c r="K255">
        <f ca="1"/>
        <v>0</v>
      </c>
      <c r="L255">
        <f ca="1"/>
        <v>4.8656441868386082</v>
      </c>
    </row>
    <row r="256" spans="2:12" x14ac:dyDescent="0.3">
      <c r="B256">
        <v>0.246</v>
      </c>
      <c r="C256">
        <f ca="1"/>
        <v>-0.21237105495577066</v>
      </c>
      <c r="D256">
        <f ca="1"/>
        <v>1</v>
      </c>
      <c r="E256">
        <f ca="1"/>
        <v>95.371135997566952</v>
      </c>
      <c r="F256">
        <f ca="1"/>
        <v>0</v>
      </c>
      <c r="G256">
        <f ca="1"/>
        <v>0</v>
      </c>
      <c r="H256">
        <f ca="1"/>
        <v>99.655958066423835</v>
      </c>
      <c r="I256">
        <f ca="1"/>
        <v>-1</v>
      </c>
      <c r="J256">
        <f ca="1"/>
        <v>4.284822068856883</v>
      </c>
      <c r="K256">
        <f ca="1"/>
        <v>0</v>
      </c>
      <c r="L256">
        <f ca="1"/>
        <v>4.6288640024330476</v>
      </c>
    </row>
    <row r="257" spans="2:12" x14ac:dyDescent="0.3">
      <c r="B257">
        <v>0.247</v>
      </c>
      <c r="C257">
        <f ca="1"/>
        <v>-0.18803015863919473</v>
      </c>
      <c r="D257">
        <f ca="1"/>
        <v>1</v>
      </c>
      <c r="E257">
        <f ca="1"/>
        <v>95.834635016723539</v>
      </c>
      <c r="F257">
        <f ca="1"/>
        <v>0</v>
      </c>
      <c r="G257">
        <f ca="1"/>
        <v>0</v>
      </c>
      <c r="H257">
        <f ca="1"/>
        <v>99.655958066423835</v>
      </c>
      <c r="I257">
        <f ca="1"/>
        <v>-1</v>
      </c>
      <c r="J257">
        <f ca="1"/>
        <v>3.8213230497002968</v>
      </c>
      <c r="K257">
        <f ca="1"/>
        <v>0</v>
      </c>
      <c r="L257">
        <f ca="1"/>
        <v>4.1653649832764614</v>
      </c>
    </row>
    <row r="258" spans="2:12" x14ac:dyDescent="0.3">
      <c r="B258">
        <v>0.248</v>
      </c>
      <c r="C258">
        <f ca="1"/>
        <v>-0.18060212763643496</v>
      </c>
      <c r="D258">
        <f ca="1"/>
        <v>1</v>
      </c>
      <c r="E258">
        <f ca="1"/>
        <v>95.975193828804905</v>
      </c>
      <c r="F258">
        <f ca="1"/>
        <v>0</v>
      </c>
      <c r="G258">
        <f ca="1"/>
        <v>0</v>
      </c>
      <c r="H258">
        <f ca="1"/>
        <v>99.655958066423835</v>
      </c>
      <c r="I258">
        <f ca="1"/>
        <v>-1</v>
      </c>
      <c r="J258">
        <f ca="1"/>
        <v>3.6807642376189307</v>
      </c>
      <c r="K258">
        <f ca="1"/>
        <v>0</v>
      </c>
      <c r="L258">
        <f ca="1"/>
        <v>4.0248061711950953</v>
      </c>
    </row>
    <row r="259" spans="2:12" x14ac:dyDescent="0.3">
      <c r="B259">
        <v>0.249</v>
      </c>
      <c r="C259">
        <f ca="1"/>
        <v>-0.21291417801660678</v>
      </c>
      <c r="D259">
        <f ca="1"/>
        <v>1</v>
      </c>
      <c r="E259">
        <f ca="1"/>
        <v>95.355055432575043</v>
      </c>
      <c r="F259">
        <f ca="1"/>
        <v>0</v>
      </c>
      <c r="G259">
        <f ca="1"/>
        <v>0</v>
      </c>
      <c r="H259">
        <f ca="1"/>
        <v>99.655958066423835</v>
      </c>
      <c r="I259">
        <f ca="1"/>
        <v>-1</v>
      </c>
      <c r="J259">
        <f ca="1"/>
        <v>4.3009026338487928</v>
      </c>
      <c r="K259">
        <f ca="1"/>
        <v>0</v>
      </c>
      <c r="L259">
        <f ca="1"/>
        <v>4.6449445674249574</v>
      </c>
    </row>
    <row r="260" spans="2:12" x14ac:dyDescent="0.3">
      <c r="B260">
        <v>0.25</v>
      </c>
      <c r="C260">
        <f ca="1"/>
        <v>-0.1875340994814246</v>
      </c>
      <c r="D260">
        <f ca="1"/>
        <v>1</v>
      </c>
      <c r="E260">
        <f ca="1"/>
        <v>95.838392941965949</v>
      </c>
      <c r="F260">
        <f ca="1"/>
        <v>-99.655958066423835</v>
      </c>
      <c r="G260">
        <f ca="1"/>
        <v>1</v>
      </c>
      <c r="H260">
        <f ca="1"/>
        <v>0</v>
      </c>
      <c r="I260">
        <f ca="1"/>
        <v>0</v>
      </c>
      <c r="J260">
        <f ca="1"/>
        <v>0</v>
      </c>
      <c r="K260">
        <f ca="1"/>
        <v>3.8175651244578859</v>
      </c>
      <c r="L260">
        <f ca="1"/>
        <v>4.1616070580340505</v>
      </c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11</vt:i4>
      </vt:variant>
    </vt:vector>
  </HeadingPairs>
  <TitlesOfParts>
    <vt:vector size="13" baseType="lpstr">
      <vt:lpstr>Elementary</vt:lpstr>
      <vt:lpstr>Simulation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Xiaoyang Zhang</cp:lastModifiedBy>
  <dcterms:created xsi:type="dcterms:W3CDTF">2026-02-23T20:58:14Z</dcterms:created>
  <dcterms:modified xsi:type="dcterms:W3CDTF">2026-03-01T21:05:16Z</dcterms:modified>
</cp:coreProperties>
</file>