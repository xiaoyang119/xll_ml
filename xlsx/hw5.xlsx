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ml\xlsx\"/>
    </mc:Choice>
  </mc:AlternateContent>
  <xr:revisionPtr revIDLastSave="0" documentId="13_ncr:1_{9CF780FA-2010-4334-A52C-7AFA12419DDC}" xr6:coauthVersionLast="47" xr6:coauthVersionMax="47" xr10:uidLastSave="{00000000-0000-0000-0000-000000000000}"/>
  <bookViews>
    <workbookView xWindow="-98" yWindow="-98" windowWidth="22276" windowHeight="13996" activeTab="1" xr2:uid="{5E38A752-04D7-4C78-952F-E31FCF3159F7}"/>
  </bookViews>
  <sheets>
    <sheet name="Elementary" sheetId="1" r:id="rId1"/>
    <sheet name="Simulation" sheetId="4" r:id="rId2"/>
    <sheet name="Simulation (2)" sheetId="5" r:id="rId3"/>
  </sheets>
  <definedNames>
    <definedName name="_M" localSheetId="2">_xlfn.ANCHORARRAY('Simulation (2)'!$H$10)</definedName>
    <definedName name="_M">_xlfn.ANCHORARRAY(Simulation!$H$10)</definedName>
    <definedName name="_N" localSheetId="2">_xlfn.ANCHORARRAY('Simulation (2)'!$I$10)</definedName>
    <definedName name="_N">_xlfn.ANCHORARRAY(Simulation!$I$10)</definedName>
    <definedName name="A" localSheetId="2">_xlfn.ANCHORARRAY('Simulation (2)'!$K$10)</definedName>
    <definedName name="A">_xlfn.ANCHORARRAY(Simulation!$K$10)</definedName>
    <definedName name="ad">_xlfn.LAMBDA(_xlpm.x, _xlfn.VSTACK(_xlfn.TAKE(_xlpm.x,1), _xlfn.DROP(_xlpm.x,1) - _xlfn.DROP(_xlpm.x,-1)))</definedName>
    <definedName name="B_" localSheetId="2">_xlfn.ANCHORARRAY('Simulation (2)'!$C$10)</definedName>
    <definedName name="B_">_xlfn.ANCHORARRAY(Simulation!$C$10)</definedName>
    <definedName name="co">_xlfn.LAMBDA(_xlpm.x,_xlfn.LET(_xlpm.x_,_xlfn.DROP(_xlpm.x,-1),_xlfn.VSTACK(_xlpm.x_, -SUM(_xlpm.x_))))</definedName>
    <definedName name="dt" localSheetId="2">'Simulation (2)'!$C$6</definedName>
    <definedName name="dt">Simulation!$C$6</definedName>
    <definedName name="error" localSheetId="2">'Simulation (2)'!$G$6</definedName>
    <definedName name="error">Simulation!$G$6</definedName>
    <definedName name="f" localSheetId="2">'Simulation (2)'!$C$3</definedName>
    <definedName name="f">Simulation!$C$3</definedName>
    <definedName name="hedge" localSheetId="2">'Simulation (2)'!$G$5</definedName>
    <definedName name="hedge">Simulation!$G$5</definedName>
    <definedName name="k" localSheetId="2">'Simulation (2)'!$C$7</definedName>
    <definedName name="k">Simulation!$C$7</definedName>
    <definedName name="last" localSheetId="2">'Simulation (2)'!$G$3</definedName>
    <definedName name="last">Simulation!$G$3</definedName>
    <definedName name="M" localSheetId="2">_xlfn.ANCHORARRAY('Simulation (2)'!$F$10)</definedName>
    <definedName name="M">_xlfn.ANCHORARRAY(Simulation!$F$10)</definedName>
    <definedName name="mu" localSheetId="2">'Simulation (2)'!$C$2</definedName>
    <definedName name="mu">Simulation!$C$2</definedName>
    <definedName name="N" localSheetId="2">_xlfn.ANCHORARRAY('Simulation (2)'!$G$10)</definedName>
    <definedName name="N">_xlfn.ANCHORARRAY(Simulation!$G$10)</definedName>
    <definedName name="payoff" localSheetId="2">'Simulation (2)'!$G$4</definedName>
    <definedName name="payoff">Simulation!$G$4</definedName>
    <definedName name="put" localSheetId="2">'Simulation (2)'!$G$2</definedName>
    <definedName name="put">Simulation!$G$2</definedName>
    <definedName name="R_" localSheetId="2">_xlfn.ANCHORARRAY('Simulation (2)'!$D$10)</definedName>
    <definedName name="R_">_xlfn.ANCHORARRAY(Simulation!$D$10)</definedName>
    <definedName name="S_" localSheetId="2">_xlfn.ANCHORARRAY('Simulation (2)'!$E$10)</definedName>
    <definedName name="S_">_xlfn.ANCHORARRAY(Simulation!$E$10)</definedName>
    <definedName name="sigma" localSheetId="2">'Simulation (2)'!$C$4</definedName>
    <definedName name="sigma">Simulation!$C$4</definedName>
    <definedName name="t" localSheetId="2">'Simulation (2)'!$C$5</definedName>
    <definedName name="t">Simulation!$C$5</definedName>
    <definedName name="t_" localSheetId="2">_xlfn.ANCHORARRAY('Simulation (2)'!$B$10)</definedName>
    <definedName name="t_">_xlfn.ANCHORARRAY(Simulation!$B$10)</definedName>
    <definedName name="V" localSheetId="2">_xlfn.ANCHORARRAY('Simulation (2)'!$J$10)</definedName>
    <definedName name="V">_xlfn.ANCHORARRAY(Simulation!$J$10)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4" l="1"/>
  <c r="C6" i="5"/>
  <c r="O3" i="5" a="1"/>
  <c r="O3" i="5" s="1"/>
  <c r="P3" i="5" s="1" a="1"/>
  <c r="P3" i="5" s="1"/>
  <c r="O3" i="4" a="1"/>
  <c r="O3" i="4" s="1"/>
  <c r="P3" i="4" s="1" a="1"/>
  <c r="P3" i="4" s="1"/>
  <c r="H4" i="1"/>
  <c r="F5" i="1"/>
  <c r="D5" i="1"/>
  <c r="D4" i="1"/>
  <c r="K2" i="5" a="1"/>
  <c r="K2" i="4" a="1"/>
  <c r="G2" i="5" a="1"/>
  <c r="B10" i="5" a="1"/>
  <c r="J2" i="5" a="1"/>
  <c r="G2" i="4" a="1"/>
  <c r="I2" i="4" a="1"/>
  <c r="I2" i="5" a="1"/>
  <c r="J2" i="4" a="1"/>
  <c r="B10" i="4" a="1"/>
  <c r="O7" i="4" a="1"/>
  <c r="B1" i="4" a="1"/>
  <c r="B1" i="5" a="1"/>
  <c r="O7" i="4" l="1"/>
  <c r="I2" i="5"/>
  <c r="J2" i="5"/>
  <c r="L2" i="5" s="1"/>
  <c r="N21" i="5"/>
  <c r="P20" i="5"/>
  <c r="B10" i="5"/>
  <c r="B1" i="5"/>
  <c r="G2" i="5"/>
  <c r="K2" i="5"/>
  <c r="B1" i="4"/>
  <c r="N21" i="4"/>
  <c r="P20" i="4"/>
  <c r="K2" i="4"/>
  <c r="J2" i="4"/>
  <c r="I2" i="4"/>
  <c r="G2" i="4"/>
  <c r="B10" i="4"/>
  <c r="K5" i="1"/>
  <c r="E4" i="1"/>
  <c r="C10" i="4" a="1"/>
  <c r="M2" i="5" l="1"/>
  <c r="M14" i="4"/>
  <c r="C10" i="4"/>
  <c r="L2" i="4"/>
  <c r="M2" i="4" s="1"/>
  <c r="G4" i="1"/>
  <c r="E5" i="1"/>
  <c r="J5" i="1" s="1"/>
  <c r="L5" i="1" s="1"/>
  <c r="J4" i="1"/>
  <c r="M20" i="4" a="1"/>
  <c r="C10" i="5" a="1"/>
  <c r="M20" i="5" s="1" a="1"/>
  <c r="M21" i="5" l="1"/>
  <c r="M20" i="5"/>
  <c r="M14" i="5"/>
  <c r="C10" i="5"/>
  <c r="M21" i="4"/>
  <c r="M20" i="4"/>
  <c r="E10" i="4" a="1"/>
  <c r="D10" i="4" a="1"/>
  <c r="D10" i="4" s="1"/>
  <c r="G5" i="1" a="1"/>
  <c r="G5" i="1" s="1"/>
  <c r="I5" i="1" s="1"/>
  <c r="I4" i="1"/>
  <c r="M16" i="4" a="1"/>
  <c r="O20" i="4" a="1"/>
  <c r="D10" i="5" l="1" a="1"/>
  <c r="D10" i="5" s="1"/>
  <c r="E10" i="5" a="1"/>
  <c r="M16" i="4"/>
  <c r="N14" i="4"/>
  <c r="O20" i="4"/>
  <c r="O21" i="4"/>
  <c r="E10" i="4"/>
  <c r="O20" i="5" a="1"/>
  <c r="M16" i="5" a="1"/>
  <c r="I10" i="4" a="1"/>
  <c r="O21" i="5" l="1"/>
  <c r="O20" i="5"/>
  <c r="M16" i="5"/>
  <c r="E10" i="5"/>
  <c r="I10" i="5" s="1" a="1"/>
  <c r="I10" i="5" s="1"/>
  <c r="N14" i="5"/>
  <c r="N16" i="4"/>
  <c r="I10" i="4"/>
  <c r="L10" i="4" a="1"/>
  <c r="L10" i="4" s="1"/>
  <c r="G3" i="4" a="1"/>
  <c r="G3" i="4" s="1"/>
  <c r="G4" i="4" s="1"/>
  <c r="H4" i="4" a="1"/>
  <c r="G3" i="5" l="1" a="1"/>
  <c r="G3" i="5" s="1"/>
  <c r="G4" i="5" s="1"/>
  <c r="L10" i="5" a="1"/>
  <c r="L10" i="5" s="1"/>
  <c r="G10" i="4" a="1"/>
  <c r="G10" i="4" s="1"/>
  <c r="F10" i="4" s="1" a="1"/>
  <c r="H4" i="4"/>
  <c r="I4" i="4"/>
  <c r="H4" i="5" a="1"/>
  <c r="N16" i="5" l="1"/>
  <c r="G10" i="5" a="1"/>
  <c r="H4" i="5"/>
  <c r="I4" i="5"/>
  <c r="M10" i="4"/>
  <c r="M11" i="4"/>
  <c r="N11" i="4" s="1"/>
  <c r="F10" i="4"/>
  <c r="K10" i="4" s="1" a="1"/>
  <c r="K10" i="4" s="1"/>
  <c r="G5" i="4" s="1" a="1"/>
  <c r="G5" i="4" s="1"/>
  <c r="G6" i="4" s="1"/>
  <c r="H6" i="4" a="1"/>
  <c r="G10" i="5" l="1"/>
  <c r="M11" i="5"/>
  <c r="H6" i="4"/>
  <c r="I6" i="4"/>
  <c r="J6" i="4" s="1"/>
  <c r="N10" i="4"/>
  <c r="H10" i="4" a="1"/>
  <c r="H10" i="4" s="1"/>
  <c r="J10" i="4" s="1" a="1"/>
  <c r="J10" i="4" s="1"/>
  <c r="M10" i="5" l="1"/>
  <c r="F10" i="5" a="1"/>
  <c r="N11" i="5" l="1"/>
  <c r="F10" i="5"/>
  <c r="H10" i="5" l="1" a="1"/>
  <c r="H10" i="5" s="1"/>
  <c r="J10" i="5" s="1" a="1"/>
  <c r="J10" i="5" s="1"/>
  <c r="N10" i="5"/>
  <c r="K10" i="5" a="1"/>
  <c r="K10" i="5" s="1"/>
  <c r="G5" i="5" s="1" a="1"/>
  <c r="G5" i="5" s="1"/>
  <c r="G6" i="5" s="1"/>
  <c r="H6" i="5" a="1"/>
  <c r="H6" i="5" l="1"/>
  <c r="I6" i="5"/>
  <c r="J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11EC72C2-EA02-4BCF-BE17-CDD3CFEC86F9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4BB3A08D-CB16-4312-9768-215385A088D7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<sst xmlns="http://schemas.openxmlformats.org/spreadsheetml/2006/main" count="70" uniqueCount="32">
  <si>
    <t>X</t>
  </si>
  <si>
    <t>t</t>
  </si>
  <si>
    <t>R</t>
  </si>
  <si>
    <t>S</t>
  </si>
  <si>
    <t>M</t>
  </si>
  <si>
    <t>N</t>
  </si>
  <si>
    <t>\M</t>
  </si>
  <si>
    <t>\N</t>
  </si>
  <si>
    <t>V</t>
  </si>
  <si>
    <t>A</t>
  </si>
  <si>
    <t>Γ</t>
  </si>
  <si>
    <t>(Δ+Γ).X</t>
  </si>
  <si>
    <t>-Γ.X</t>
  </si>
  <si>
    <t>Δ+Γ</t>
  </si>
  <si>
    <t>sigma</t>
  </si>
  <si>
    <t>mu</t>
  </si>
  <si>
    <t>f</t>
  </si>
  <si>
    <t>k</t>
  </si>
  <si>
    <t>R_</t>
  </si>
  <si>
    <t>S_</t>
  </si>
  <si>
    <t>put</t>
  </si>
  <si>
    <t>dt</t>
  </si>
  <si>
    <t>t_</t>
  </si>
  <si>
    <t>B_</t>
  </si>
  <si>
    <t>payoff</t>
  </si>
  <si>
    <t>hedge</t>
  </si>
  <si>
    <t>_M</t>
  </si>
  <si>
    <t>_N</t>
  </si>
  <si>
    <t>last</t>
  </si>
  <si>
    <t>error</t>
  </si>
  <si>
    <t>accuracy</t>
  </si>
  <si>
    <t>intrinsic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</si>
</sst>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&quot;0x&quot;#"/>
    <numFmt numFmtId="165" formatCode="0.0000"/>
    <numFmt numFmtId="166" formatCode="0.000"/>
    <numFmt numFmtId="167" formatCode="0.0%"/>
    <numFmt numFmtId="168" formatCode="_(* #,##0_);_(* \(#,##0\);_(* &quot;-&quot;??_);_(@_)"/>
  </numFmts>
  <fonts count="13" x14ac:knownFonts="1">
    <font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sz val="14"/>
      <color theme="0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theme="0" tint="-0.34998626667073579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3F3F3F"/>
      <name val="Aptos Narrow"/>
      <family val="2"/>
      <scheme val="minor"/>
    </font>
    <font>
      <sz val="14"/>
      <color rgb="FF3F3F76"/>
      <name val="Aptos Narrow"/>
      <family val="2"/>
      <scheme val="minor"/>
    </font>
    <font>
      <b/>
      <sz val="14"/>
      <color rgb="FFFA7D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2" applyNumberFormat="0" applyAlignment="0" applyProtection="0"/>
    <xf numFmtId="164" fontId="3" fillId="0" borderId="0">
      <alignment horizontal="center" vertical="center"/>
    </xf>
    <xf numFmtId="9" fontId="6" fillId="0" borderId="0" applyFont="0" applyFill="0" applyBorder="0" applyAlignment="0" applyProtection="0"/>
    <xf numFmtId="0" fontId="7" fillId="3" borderId="3" applyNumberFormat="0" applyAlignment="0" applyProtection="0"/>
    <xf numFmtId="43" fontId="6" fillId="0" borderId="0" applyFont="0" applyFill="0" applyBorder="0" applyAlignment="0" applyProtection="0"/>
    <xf numFmtId="0" fontId="8" fillId="4" borderId="4" applyNumberFormat="0" applyAlignment="0" applyProtection="0"/>
    <xf numFmtId="0" fontId="9" fillId="3" borderId="4" applyNumberFormat="0" applyAlignment="0" applyProtection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2" borderId="2" xfId="1"/>
    <xf numFmtId="0" fontId="5" fillId="0" borderId="0" xfId="0" applyFont="1"/>
    <xf numFmtId="165" fontId="0" fillId="0" borderId="0" xfId="0" applyNumberFormat="1"/>
    <xf numFmtId="165" fontId="5" fillId="0" borderId="0" xfId="0" applyNumberFormat="1" applyFont="1"/>
    <xf numFmtId="0" fontId="5" fillId="0" borderId="0" xfId="0" applyNumberFormat="1" applyFont="1" applyAlignment="1">
      <alignment horizontal="right"/>
    </xf>
    <xf numFmtId="166" fontId="0" fillId="0" borderId="0" xfId="0" applyNumberFormat="1"/>
    <xf numFmtId="2" fontId="0" fillId="0" borderId="0" xfId="0" applyNumberFormat="1"/>
    <xf numFmtId="165" fontId="7" fillId="3" borderId="3" xfId="4" applyNumberFormat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/>
    <xf numFmtId="167" fontId="0" fillId="0" borderId="0" xfId="3" applyNumberFormat="1" applyFont="1" applyAlignment="1">
      <alignment horizontal="center"/>
    </xf>
    <xf numFmtId="168" fontId="11" fillId="0" borderId="0" xfId="5" applyNumberFormat="1" applyFont="1"/>
    <xf numFmtId="0" fontId="0" fillId="0" borderId="0" xfId="0" applyFill="1" applyBorder="1" applyAlignment="1">
      <alignment horizontal="center"/>
    </xf>
    <xf numFmtId="0" fontId="8" fillId="4" borderId="4" xfId="6"/>
    <xf numFmtId="0" fontId="9" fillId="3" borderId="4" xfId="7"/>
    <xf numFmtId="0" fontId="12" fillId="0" borderId="0" xfId="0" applyFont="1"/>
    <xf numFmtId="0" fontId="12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8">
    <cellStyle name="Calculation" xfId="7" builtinId="22"/>
    <cellStyle name="Check Cell" xfId="1" builtinId="23"/>
    <cellStyle name="Comma" xfId="5" builtinId="3"/>
    <cellStyle name="Handle" xfId="2" xr:uid="{FF7A162F-DF08-42FE-AEB2-120BB5405C33}"/>
    <cellStyle name="Input" xfId="6" builtinId="20"/>
    <cellStyle name="Normal" xfId="0" builtinId="0"/>
    <cellStyle name="Output" xfId="4" builtinId="21"/>
    <cellStyle name="Percent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CCDB-807E-4762-83AC-A616811C3245}">
  <dimension ref="B2:L6"/>
  <sheetViews>
    <sheetView workbookViewId="0"/>
  </sheetViews>
  <sheetFormatPr defaultRowHeight="18" x14ac:dyDescent="0.55000000000000004"/>
  <cols>
    <col min="1" max="1" width="3.578125" customWidth="1"/>
  </cols>
  <sheetData>
    <row r="2" spans="2:12" x14ac:dyDescent="0.55000000000000004">
      <c r="C2" s="24" t="s">
        <v>0</v>
      </c>
      <c r="D2" s="24"/>
      <c r="E2" s="25" t="s">
        <v>10</v>
      </c>
      <c r="F2" s="25"/>
      <c r="G2" s="25" t="s">
        <v>13</v>
      </c>
      <c r="H2" s="25"/>
      <c r="I2" s="1" t="s">
        <v>11</v>
      </c>
      <c r="J2" s="3" t="s">
        <v>12</v>
      </c>
    </row>
    <row r="3" spans="2:12" x14ac:dyDescent="0.55000000000000004"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</row>
    <row r="4" spans="2:12" ht="18.399999999999999" thickBot="1" x14ac:dyDescent="0.6">
      <c r="B4">
        <v>0</v>
      </c>
      <c r="C4">
        <v>1</v>
      </c>
      <c r="D4">
        <f ca="1">RAND()</f>
        <v>0.38624765189640453</v>
      </c>
      <c r="E4">
        <f ca="1">-F4*D4</f>
        <v>-1.1587429556892137</v>
      </c>
      <c r="F4" s="20">
        <v>3</v>
      </c>
      <c r="G4">
        <f ca="1">E4</f>
        <v>-1.1587429556892137</v>
      </c>
      <c r="H4">
        <f>F4</f>
        <v>3</v>
      </c>
      <c r="I4">
        <f ca="1">SUMPRODUCT(G4:H4,C4:D4)</f>
        <v>0</v>
      </c>
      <c r="J4">
        <f ca="1">-SUMPRODUCT(E4:F4,C4:D4)</f>
        <v>0</v>
      </c>
    </row>
    <row r="5" spans="2:12" ht="18.75" thickTop="1" thickBot="1" x14ac:dyDescent="0.6">
      <c r="B5">
        <v>1</v>
      </c>
      <c r="C5">
        <v>1</v>
      </c>
      <c r="D5">
        <f ca="1">RAND()</f>
        <v>0.60002550215153139</v>
      </c>
      <c r="E5">
        <f ca="1">-E4</f>
        <v>1.1587429556892137</v>
      </c>
      <c r="F5" s="21">
        <f>-F4</f>
        <v>-3</v>
      </c>
      <c r="G5" cm="1">
        <f t="array" aca="1" ref="G5:H5" ca="1">G4:H4+E5:F5</f>
        <v>0</v>
      </c>
      <c r="H5">
        <f ca="1"/>
        <v>0</v>
      </c>
      <c r="I5">
        <f ca="1">SUMPRODUCT(G5:H5,C5:D5)</f>
        <v>0</v>
      </c>
      <c r="J5">
        <f ca="1">-SUMPRODUCT(E5:F5,C5:D5)</f>
        <v>0.64133355076538034</v>
      </c>
      <c r="K5">
        <f ca="1">F4*(D5-D4)</f>
        <v>0.64133355076538057</v>
      </c>
      <c r="L5" s="6">
        <f ca="1">J5-K5</f>
        <v>0</v>
      </c>
    </row>
    <row r="6" spans="2:12" ht="18.399999999999999" thickTop="1" x14ac:dyDescent="0.55000000000000004"/>
  </sheetData>
  <mergeCells count="3">
    <mergeCell ref="C2:D2"/>
    <mergeCell ref="E2:F2"/>
    <mergeCell ref="G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2DD-292F-41DF-A786-89DEB5029ACA}">
  <dimension ref="B1:P208"/>
  <sheetViews>
    <sheetView tabSelected="1" topLeftCell="C2" workbookViewId="0">
      <selection activeCell="C10" sqref="C10"/>
    </sheetView>
  </sheetViews>
  <sheetFormatPr defaultRowHeight="18" x14ac:dyDescent="0.55000000000000004"/>
  <cols>
    <col min="1" max="1" width="3.578125" customWidth="1"/>
    <col min="2" max="2" width="9.89453125" bestFit="1" customWidth="1"/>
    <col min="7" max="7" width="11.68359375" bestFit="1" customWidth="1"/>
    <col min="10" max="10" width="10.20703125" bestFit="1" customWidth="1"/>
    <col min="13" max="13" width="11.68359375" bestFit="1" customWidth="1"/>
  </cols>
  <sheetData>
    <row r="1" spans="2:16" x14ac:dyDescent="0.55000000000000004">
      <c r="B1" s="18" cm="1">
        <f t="array" aca="1" ref="B1" ca="1">_xll.MONTE.COUNT()</f>
        <v>17749</v>
      </c>
    </row>
    <row r="2" spans="2:16" x14ac:dyDescent="0.55000000000000004">
      <c r="B2" s="4" t="s">
        <v>15</v>
      </c>
      <c r="C2">
        <v>0</v>
      </c>
      <c r="F2" s="4" t="s">
        <v>20</v>
      </c>
      <c r="G2" s="8" cm="1">
        <f t="array" ref="G2">_xll.OPTION.BLACK.PUT(f, sigma*SQRT(t), k)</f>
        <v>3.987761167674492</v>
      </c>
      <c r="I2" s="9" cm="1">
        <f t="array" ref="I2">_xll.OPTION.BLACK.PUT_DELTA(f, sigma*SQRT(t), k)</f>
        <v>-0.48006119416162751</v>
      </c>
      <c r="J2" s="9" cm="1">
        <f t="array" ref="J2">_xll.OPTION.BLACK.PUT(f+0.01, sigma*SQRT(t), k)</f>
        <v>3.9829625478526722</v>
      </c>
      <c r="K2" s="9" cm="1">
        <f t="array" ref="K2">_xll.OPTION.BLACK.PUT(f-0.01, sigma*SQRT(t), k)</f>
        <v>3.9925637719351386</v>
      </c>
      <c r="L2" s="9">
        <f>(J2-K2)/0.02</f>
        <v>-0.48006120412331654</v>
      </c>
      <c r="M2" s="10">
        <f>I2-L2</f>
        <v>9.9616890292253402E-9</v>
      </c>
    </row>
    <row r="3" spans="2:16" x14ac:dyDescent="0.55000000000000004">
      <c r="B3" s="4" t="s">
        <v>16</v>
      </c>
      <c r="C3">
        <v>100</v>
      </c>
      <c r="F3" s="4" t="s">
        <v>28</v>
      </c>
      <c r="G3" s="8" cm="1">
        <f t="array" aca="1" ref="G3" ca="1">_xlfn.TAKE(S_,-1)</f>
        <v>91.578275485005179</v>
      </c>
      <c r="N3" s="7">
        <v>1</v>
      </c>
      <c r="O3" s="7" cm="1">
        <f t="array" ref="O3:O5">ad(N3:N5)</f>
        <v>1</v>
      </c>
      <c r="P3" s="7" cm="1">
        <f t="array" ref="P3:P5">_xlfn.SCAN(0,_xlfn.ANCHORARRAY(O3),_xlfn.LAMBDA(_xlpm.a,_xlpm.b,_xlpm.a+_xlpm.b))</f>
        <v>1</v>
      </c>
    </row>
    <row r="4" spans="2:16" x14ac:dyDescent="0.55000000000000004">
      <c r="B4" s="4" t="s">
        <v>14</v>
      </c>
      <c r="C4">
        <v>0.2</v>
      </c>
      <c r="F4" s="4" t="s">
        <v>24</v>
      </c>
      <c r="G4" s="11">
        <f ca="1">MAX(k - last,0)</f>
        <v>8.4217245149948212</v>
      </c>
      <c r="H4" s="11">
        <f t="array" aca="1" ref="H4:I4" ca="1">_xll.MONTE.STDEV(G4)</f>
        <v>4.0089949031248189</v>
      </c>
      <c r="I4" s="11">
        <f ca="1"/>
        <v>5.4770512639207718</v>
      </c>
      <c r="M4">
        <v>1E-3</v>
      </c>
      <c r="N4" s="7">
        <v>2</v>
      </c>
      <c r="O4" s="7">
        <v>1</v>
      </c>
      <c r="P4" s="7">
        <v>2</v>
      </c>
    </row>
    <row r="5" spans="2:16" x14ac:dyDescent="0.55000000000000004">
      <c r="B5" s="4" t="s">
        <v>1</v>
      </c>
      <c r="C5">
        <v>0.25</v>
      </c>
      <c r="F5" s="4" t="s">
        <v>25</v>
      </c>
      <c r="G5" s="11" cm="1">
        <f t="array" aca="1" ref="G5" ca="1">_xlfn.TAKE(A,-1)</f>
        <v>7.8662963197909761</v>
      </c>
      <c r="H5" s="11"/>
      <c r="I5" s="11"/>
      <c r="M5">
        <v>0.01</v>
      </c>
      <c r="N5" s="7">
        <v>3</v>
      </c>
      <c r="O5" s="7">
        <v>1</v>
      </c>
      <c r="P5" s="7">
        <v>3</v>
      </c>
    </row>
    <row r="6" spans="2:16" x14ac:dyDescent="0.55000000000000004">
      <c r="B6" s="4" t="s">
        <v>21</v>
      </c>
      <c r="C6">
        <f>1/250</f>
        <v>4.0000000000000001E-3</v>
      </c>
      <c r="F6" s="4" t="s">
        <v>29</v>
      </c>
      <c r="G6" s="11">
        <f ca="1">payoff-hedge</f>
        <v>0.55542819520384512</v>
      </c>
      <c r="H6" s="8">
        <f t="array" aca="1" ref="H6:I6" ca="1">_xll.MONTE.STDEV(error)</f>
        <v>-4.8258026454621246E-2</v>
      </c>
      <c r="I6" s="13">
        <f ca="1"/>
        <v>0.71854050053657714</v>
      </c>
      <c r="J6" s="17">
        <f ca="1">I6/put</f>
        <v>0.18018644305009926</v>
      </c>
      <c r="K6" s="16" t="s">
        <v>30</v>
      </c>
      <c r="M6">
        <v>0.1</v>
      </c>
    </row>
    <row r="7" spans="2:16" x14ac:dyDescent="0.55000000000000004">
      <c r="B7" s="4" t="s">
        <v>17</v>
      </c>
      <c r="C7">
        <v>100</v>
      </c>
      <c r="O7" cm="1">
        <f t="array" ref="O7:O16">_xll.ARRAY.SEQUENCE(0.001,0.1,0.01)</f>
        <v>1E-3</v>
      </c>
    </row>
    <row r="8" spans="2:16" x14ac:dyDescent="0.55000000000000004">
      <c r="D8" s="26" t="s">
        <v>0</v>
      </c>
      <c r="E8" s="26"/>
      <c r="F8" s="27" t="s">
        <v>10</v>
      </c>
      <c r="G8" s="27"/>
      <c r="H8" s="27" t="s">
        <v>13</v>
      </c>
      <c r="I8" s="27"/>
      <c r="J8" s="2" t="s">
        <v>11</v>
      </c>
      <c r="K8" s="3" t="s">
        <v>12</v>
      </c>
      <c r="O8">
        <v>1.0999999999999999E-2</v>
      </c>
      <c r="P8">
        <v>0.18018644305009926</v>
      </c>
    </row>
    <row r="9" spans="2:16" x14ac:dyDescent="0.55000000000000004">
      <c r="B9" s="5" t="s">
        <v>22</v>
      </c>
      <c r="C9" s="5" t="s">
        <v>23</v>
      </c>
      <c r="D9" s="5" t="s">
        <v>18</v>
      </c>
      <c r="E9" s="5" t="s">
        <v>19</v>
      </c>
      <c r="F9" s="5" t="s">
        <v>4</v>
      </c>
      <c r="G9" s="5" t="s">
        <v>5</v>
      </c>
      <c r="H9" s="5" t="s">
        <v>26</v>
      </c>
      <c r="I9" s="5" t="s">
        <v>27</v>
      </c>
      <c r="J9" s="5" t="s">
        <v>8</v>
      </c>
      <c r="K9" s="5" t="s">
        <v>9</v>
      </c>
      <c r="L9" s="19" t="s">
        <v>31</v>
      </c>
      <c r="O9">
        <v>2.1000000000000001E-2</v>
      </c>
    </row>
    <row r="10" spans="2:16" x14ac:dyDescent="0.55000000000000004">
      <c r="B10" cm="1">
        <f t="array" ref="B10:B72">_xll.ARRAY.SEQUENCE(0, t, dt)</f>
        <v>0</v>
      </c>
      <c r="C10" cm="1">
        <f t="array" aca="1" ref="C10:C72" ca="1">_xll.RANDOM.BROWNIAN(t_)</f>
        <v>0</v>
      </c>
      <c r="D10" cm="1">
        <f t="array" aca="1" ref="D10:D72" ca="1">1+0*B_</f>
        <v>1</v>
      </c>
      <c r="E10" cm="1">
        <f t="array" aca="1" ref="E10:E72" ca="1">f*EXP(sigma*B_+(mu-sigma*sigma/2)*t_)</f>
        <v>100</v>
      </c>
      <c r="F10" s="11" cm="1">
        <f t="array" aca="1" ref="F10:F72" ca="1">co(put*(t_ = 0) - N*S_/R_)</f>
        <v>51.993880583837246</v>
      </c>
      <c r="G10" s="8" cm="1">
        <f t="array" aca="1" ref="G10:G72" ca="1">co(ad(_N))</f>
        <v>-0.48006119416162751</v>
      </c>
      <c r="H10" s="11" cm="1">
        <f t="array" aca="1" ref="H10:H72" ca="1">_xlfn.SCAN(0,M,_xlfn.LAMBDA(_xlpm.a,_xlpm.b,_xlpm.a+_xlpm.b))</f>
        <v>51.993880583837246</v>
      </c>
      <c r="I10" s="8" cm="1">
        <f t="array" aca="1" ref="I10:I72" ca="1">_xlfn.VSTACK(_xlfn.DROP(_xlfn.MAP(t_,S_,_xlfn.LAMBDA(_xlpm._t,_xlpm._S,_xll.OPTION.BLACK.PUT_DELTA(_xlpm._S,sigma*SQRT(t - _xlpm._t),k))),-1),0)</f>
        <v>-0.48006119416162751</v>
      </c>
      <c r="J10" s="8" cm="1">
        <f t="array" aca="1" ref="J10:J72" ca="1">_M * R_ + _N * S_</f>
        <v>3.987761167674492</v>
      </c>
      <c r="K10" cm="1">
        <f t="array" aca="1" ref="K10:K72" ca="1">-M * R_ - N * S_</f>
        <v>-3.987761167674492</v>
      </c>
      <c r="L10" cm="1">
        <f t="array" aca="1" ref="L10:L72" ca="1">_xlfn.MAP(S_,_xlfn.LAMBDA(_xlpm.s,MAX(k-_xlpm.s,0)))</f>
        <v>0</v>
      </c>
      <c r="M10" s="22">
        <f ca="1">put - G10*E10</f>
        <v>51.993880583837246</v>
      </c>
      <c r="N10" s="22">
        <f ca="1">F10-M10</f>
        <v>0</v>
      </c>
      <c r="O10">
        <v>3.1E-2</v>
      </c>
    </row>
    <row r="11" spans="2:16" x14ac:dyDescent="0.55000000000000004">
      <c r="B11">
        <v>4.0000000000000001E-3</v>
      </c>
      <c r="C11">
        <f ca="1"/>
        <v>-3.3140554378005324E-2</v>
      </c>
      <c r="D11">
        <f ca="1"/>
        <v>1</v>
      </c>
      <c r="E11" s="12">
        <f ca="1"/>
        <v>99.331433827498017</v>
      </c>
      <c r="F11" s="11">
        <f ca="1"/>
        <v>2.6948328977212959</v>
      </c>
      <c r="G11" s="8">
        <f ca="1"/>
        <v>-2.7129709034515948E-2</v>
      </c>
      <c r="H11" s="11">
        <f ca="1"/>
        <v>54.688713481558544</v>
      </c>
      <c r="I11" s="8">
        <f ca="1"/>
        <v>-0.50719090319614346</v>
      </c>
      <c r="J11" s="8">
        <f ca="1"/>
        <v>4.3087138428218665</v>
      </c>
      <c r="K11">
        <f ca="1"/>
        <v>0</v>
      </c>
      <c r="L11">
        <f ca="1"/>
        <v>0.66856617250198269</v>
      </c>
      <c r="M11" s="22">
        <f ca="1" xml:space="preserve"> - G11*E11</f>
        <v>2.6948328977212959</v>
      </c>
      <c r="N11" s="22">
        <f ca="1">F11-M11</f>
        <v>0</v>
      </c>
      <c r="O11">
        <v>4.1000000000000002E-2</v>
      </c>
    </row>
    <row r="12" spans="2:16" x14ac:dyDescent="0.55000000000000004">
      <c r="B12">
        <v>8.0000000000000002E-3</v>
      </c>
      <c r="C12">
        <f ca="1"/>
        <v>-3.1412987258112444E-2</v>
      </c>
      <c r="D12">
        <f ca="1"/>
        <v>1</v>
      </c>
      <c r="E12" s="12">
        <f ca="1"/>
        <v>99.357811158214986</v>
      </c>
      <c r="F12" s="11">
        <f ca="1"/>
        <v>-6.8848431632998128E-2</v>
      </c>
      <c r="G12" s="8">
        <f ca="1"/>
        <v>6.929342628468893E-4</v>
      </c>
      <c r="H12" s="11">
        <f ca="1"/>
        <v>54.619865049925544</v>
      </c>
      <c r="I12" s="8">
        <f ca="1"/>
        <v>-0.50649796893329657</v>
      </c>
      <c r="J12" s="8">
        <f ca="1"/>
        <v>4.2953355006316229</v>
      </c>
      <c r="K12">
        <f ca="1"/>
        <v>0</v>
      </c>
      <c r="L12">
        <f ca="1"/>
        <v>0.64218884178501412</v>
      </c>
      <c r="O12">
        <v>5.1000000000000004E-2</v>
      </c>
      <c r="P12">
        <v>0.37259544053208832</v>
      </c>
    </row>
    <row r="13" spans="2:16" x14ac:dyDescent="0.55000000000000004">
      <c r="B13">
        <v>1.2E-2</v>
      </c>
      <c r="C13">
        <f ca="1"/>
        <v>-5.446733374204403E-2</v>
      </c>
      <c r="D13">
        <f ca="1"/>
        <v>1</v>
      </c>
      <c r="E13" s="12">
        <f ca="1"/>
        <v>98.892828092483811</v>
      </c>
      <c r="F13" s="11">
        <f ca="1"/>
        <v>1.9326709265880835</v>
      </c>
      <c r="G13" s="8">
        <f ca="1"/>
        <v>-1.9543084810767719E-2</v>
      </c>
      <c r="H13" s="11">
        <f ca="1"/>
        <v>56.552535976513624</v>
      </c>
      <c r="I13" s="8">
        <f ca="1"/>
        <v>-0.52604105374406429</v>
      </c>
      <c r="J13" s="8">
        <f ca="1"/>
        <v>4.5308484790128389</v>
      </c>
      <c r="K13">
        <f ca="1"/>
        <v>0</v>
      </c>
      <c r="L13">
        <f ca="1"/>
        <v>1.1071719075161894</v>
      </c>
      <c r="O13">
        <v>6.0999999999999999E-2</v>
      </c>
    </row>
    <row r="14" spans="2:16" x14ac:dyDescent="0.55000000000000004">
      <c r="B14">
        <v>1.6E-2</v>
      </c>
      <c r="C14">
        <f ca="1"/>
        <v>3.6057119161237772E-2</v>
      </c>
      <c r="D14">
        <f ca="1"/>
        <v>1</v>
      </c>
      <c r="E14" s="12">
        <f ca="1"/>
        <v>100.69152243351706</v>
      </c>
      <c r="F14" s="11">
        <f ca="1"/>
        <v>-7.4152232019922559</v>
      </c>
      <c r="G14" s="8">
        <f ca="1"/>
        <v>7.3642974331709576E-2</v>
      </c>
      <c r="H14" s="11">
        <f ca="1"/>
        <v>49.137312774521369</v>
      </c>
      <c r="I14" s="8">
        <f ca="1"/>
        <v>-0.45239807941235471</v>
      </c>
      <c r="J14" s="8">
        <f ca="1"/>
        <v>3.5846614124922169</v>
      </c>
      <c r="K14">
        <f ca="1"/>
        <v>0</v>
      </c>
      <c r="L14">
        <f ca="1"/>
        <v>0</v>
      </c>
      <c r="M14" s="22">
        <f ca="1">f*EXP(sigma*C14-sigma^2*B14/2)</f>
        <v>100.69152243351706</v>
      </c>
      <c r="N14" s="23">
        <f ca="1">E14-M14</f>
        <v>0</v>
      </c>
      <c r="O14">
        <v>7.1000000000000008E-2</v>
      </c>
    </row>
    <row r="15" spans="2:16" x14ac:dyDescent="0.55000000000000004">
      <c r="B15">
        <v>0.02</v>
      </c>
      <c r="C15">
        <f ca="1"/>
        <v>9.9403393980482563E-2</v>
      </c>
      <c r="D15">
        <f ca="1"/>
        <v>1</v>
      </c>
      <c r="E15" s="12">
        <f ca="1"/>
        <v>101.96716653861692</v>
      </c>
      <c r="F15" s="11">
        <f ca="1"/>
        <v>-5.2526971126830357</v>
      </c>
      <c r="G15" s="8">
        <f ca="1"/>
        <v>5.1513612577375467E-2</v>
      </c>
      <c r="H15" s="11">
        <f ca="1"/>
        <v>43.884615661838332</v>
      </c>
      <c r="I15" s="8">
        <f ca="1"/>
        <v>-0.40088446683497925</v>
      </c>
      <c r="J15" s="8">
        <f ca="1"/>
        <v>3.0075624693313472</v>
      </c>
      <c r="K15">
        <f ca="1"/>
        <v>0</v>
      </c>
      <c r="L15">
        <f ca="1"/>
        <v>0</v>
      </c>
      <c r="O15">
        <v>8.1000000000000003E-2</v>
      </c>
    </row>
    <row r="16" spans="2:16" x14ac:dyDescent="0.55000000000000004">
      <c r="B16">
        <v>2.4E-2</v>
      </c>
      <c r="C16">
        <f ca="1"/>
        <v>7.3321818500526881E-2</v>
      </c>
      <c r="D16">
        <f ca="1"/>
        <v>1</v>
      </c>
      <c r="E16" s="12">
        <f ca="1"/>
        <v>101.42854391183027</v>
      </c>
      <c r="F16" s="11">
        <f ca="1"/>
        <v>2.143900507487591</v>
      </c>
      <c r="G16" s="8">
        <f ca="1"/>
        <v>-2.1137052991229366E-2</v>
      </c>
      <c r="H16" s="11">
        <f ca="1"/>
        <v>46.028516169325925</v>
      </c>
      <c r="I16" s="8">
        <f ca="1"/>
        <v>-0.42202151982620861</v>
      </c>
      <c r="J16" s="8">
        <f ca="1"/>
        <v>3.2234879138959727</v>
      </c>
      <c r="K16">
        <f ca="1"/>
        <v>0</v>
      </c>
      <c r="L16">
        <f ca="1"/>
        <v>0</v>
      </c>
      <c r="M16" s="22" cm="1">
        <f t="array" aca="1" ref="M16" ca="1">_xll.OPTION.BLACK.PUT_DELTA(E16,sigma*SQRT(t - B16),k)</f>
        <v>-0.42202151982620861</v>
      </c>
      <c r="N16" s="23">
        <f ca="1">I16-M16</f>
        <v>0</v>
      </c>
      <c r="O16">
        <v>9.0999999999999998E-2</v>
      </c>
      <c r="P16">
        <v>0.47559219130158181</v>
      </c>
    </row>
    <row r="17" spans="2:16" x14ac:dyDescent="0.55000000000000004">
      <c r="B17">
        <v>2.8000000000000001E-2</v>
      </c>
      <c r="C17">
        <f ca="1"/>
        <v>0.1875409047907303</v>
      </c>
      <c r="D17">
        <f ca="1"/>
        <v>1</v>
      </c>
      <c r="E17" s="12">
        <f ca="1"/>
        <v>103.76392499732681</v>
      </c>
      <c r="F17" s="11">
        <f ca="1"/>
        <v>-9.5219966162000986</v>
      </c>
      <c r="G17" s="8">
        <f ca="1"/>
        <v>9.1765964100195774E-2</v>
      </c>
      <c r="H17" s="11">
        <f ca="1"/>
        <v>36.506519553125827</v>
      </c>
      <c r="I17" s="8">
        <f ca="1"/>
        <v>-0.33025555572601284</v>
      </c>
      <c r="J17" s="8">
        <f ca="1"/>
        <v>2.2379068388213454</v>
      </c>
      <c r="K17">
        <f ca="1"/>
        <v>0</v>
      </c>
      <c r="L17">
        <f ca="1"/>
        <v>0</v>
      </c>
    </row>
    <row r="18" spans="2:16" x14ac:dyDescent="0.55000000000000004">
      <c r="B18">
        <v>3.2000000000000001E-2</v>
      </c>
      <c r="C18">
        <f ca="1"/>
        <v>0.14490230064553586</v>
      </c>
      <c r="D18">
        <f ca="1"/>
        <v>1</v>
      </c>
      <c r="E18" s="12">
        <f ca="1"/>
        <v>102.87458717579467</v>
      </c>
      <c r="F18" s="11">
        <f ca="1"/>
        <v>3.378911311331287</v>
      </c>
      <c r="G18" s="8">
        <f ca="1"/>
        <v>-3.284495621408734E-2</v>
      </c>
      <c r="H18" s="11">
        <f ca="1"/>
        <v>39.885430864457113</v>
      </c>
      <c r="I18" s="8">
        <f ca="1"/>
        <v>-0.36310051194010018</v>
      </c>
      <c r="J18" s="8">
        <f ca="1"/>
        <v>2.5316155952996056</v>
      </c>
      <c r="K18">
        <f ca="1"/>
        <v>0</v>
      </c>
      <c r="L18">
        <f ca="1"/>
        <v>0</v>
      </c>
    </row>
    <row r="19" spans="2:16" x14ac:dyDescent="0.55000000000000004">
      <c r="B19">
        <v>3.6000000000000004E-2</v>
      </c>
      <c r="C19">
        <f ca="1"/>
        <v>0.15501284852962721</v>
      </c>
      <c r="D19">
        <f ca="1"/>
        <v>1</v>
      </c>
      <c r="E19" s="12">
        <f ca="1"/>
        <v>103.07457503306709</v>
      </c>
      <c r="F19" s="11">
        <f ca="1"/>
        <v>-0.90061113623286881</v>
      </c>
      <c r="G19" s="8">
        <f ca="1"/>
        <v>8.7374712526726017E-3</v>
      </c>
      <c r="H19" s="11">
        <f ca="1"/>
        <v>38.984819728224245</v>
      </c>
      <c r="I19" s="8">
        <f ca="1"/>
        <v>-0.35436304068742758</v>
      </c>
      <c r="J19" s="8">
        <f ca="1"/>
        <v>2.4589999019421853</v>
      </c>
      <c r="K19">
        <f ca="1"/>
        <v>0</v>
      </c>
      <c r="L19">
        <f ca="1"/>
        <v>0</v>
      </c>
    </row>
    <row r="20" spans="2:16" x14ac:dyDescent="0.55000000000000004">
      <c r="B20">
        <v>0.04</v>
      </c>
      <c r="C20">
        <f ca="1"/>
        <v>9.0962539212198504E-2</v>
      </c>
      <c r="D20">
        <f ca="1"/>
        <v>1</v>
      </c>
      <c r="E20" s="12">
        <f ca="1"/>
        <v>101.75446382033344</v>
      </c>
      <c r="F20" s="11">
        <f ca="1"/>
        <v>5.3432275268879934</v>
      </c>
      <c r="G20" s="8">
        <f ca="1"/>
        <v>-5.2510988965776106E-2</v>
      </c>
      <c r="H20" s="11">
        <f ca="1"/>
        <v>44.328047255112239</v>
      </c>
      <c r="I20" s="8">
        <f ca="1"/>
        <v>-0.40687402965320368</v>
      </c>
      <c r="J20" s="8">
        <f ca="1"/>
        <v>2.9267985253320461</v>
      </c>
      <c r="K20">
        <f ca="1"/>
        <v>0</v>
      </c>
      <c r="L20">
        <f ca="1"/>
        <v>0</v>
      </c>
      <c r="M20" s="7">
        <f t="array" aca="1" ref="M20:M21" ca="1">_xll.MONTE.STDEV(C20)</f>
        <v>-3.1843942103343902E-4</v>
      </c>
      <c r="N20" s="7">
        <v>0</v>
      </c>
      <c r="O20" s="7">
        <f t="array" aca="1" ref="O20:O21" ca="1">_xll.MONTE.STDEV(E20)</f>
        <v>99.991262829712568</v>
      </c>
      <c r="P20" s="7">
        <f>f*EXP(mu*B20)</f>
        <v>100</v>
      </c>
    </row>
    <row r="21" spans="2:16" x14ac:dyDescent="0.55000000000000004">
      <c r="B21">
        <v>4.3999999999999997E-2</v>
      </c>
      <c r="C21">
        <f ca="1"/>
        <v>0.17497657189107368</v>
      </c>
      <c r="D21">
        <f ca="1"/>
        <v>1</v>
      </c>
      <c r="E21" s="12">
        <f ca="1"/>
        <v>103.47039160876635</v>
      </c>
      <c r="F21" s="11">
        <f ca="1"/>
        <v>-7.2505845498642172</v>
      </c>
      <c r="G21" s="8">
        <f ca="1"/>
        <v>7.0074003172613142E-2</v>
      </c>
      <c r="H21" s="11">
        <f ca="1"/>
        <v>37.077462705248024</v>
      </c>
      <c r="I21" s="8">
        <f ca="1"/>
        <v>-0.33680002648059054</v>
      </c>
      <c r="J21" s="8">
        <f ca="1"/>
        <v>2.228632071458442</v>
      </c>
      <c r="K21">
        <f ca="1"/>
        <v>0</v>
      </c>
      <c r="L21">
        <f ca="1"/>
        <v>0</v>
      </c>
      <c r="M21" s="7">
        <f ca="1"/>
        <v>0.32967459134372368</v>
      </c>
      <c r="N21" s="7">
        <f>SQRT(B20)</f>
        <v>0.2</v>
      </c>
      <c r="O21" s="7">
        <f ca="1"/>
        <v>6.6135540268305384</v>
      </c>
      <c r="P21" s="7"/>
    </row>
    <row r="22" spans="2:16" x14ac:dyDescent="0.55000000000000004">
      <c r="B22">
        <v>4.8000000000000001E-2</v>
      </c>
      <c r="C22">
        <f ca="1"/>
        <v>0.16905236248228836</v>
      </c>
      <c r="D22">
        <f ca="1"/>
        <v>1</v>
      </c>
      <c r="E22" s="12">
        <f ca="1"/>
        <v>103.33960065631187</v>
      </c>
      <c r="F22" s="11">
        <f ca="1"/>
        <v>0.40879450386675326</v>
      </c>
      <c r="G22" s="8">
        <f ca="1"/>
        <v>-3.9558359164394985E-3</v>
      </c>
      <c r="H22" s="11">
        <f ca="1"/>
        <v>37.486257209114775</v>
      </c>
      <c r="I22" s="8">
        <f ca="1"/>
        <v>-0.34075586239703004</v>
      </c>
      <c r="J22" s="8">
        <f ca="1"/>
        <v>2.2726824677085347</v>
      </c>
      <c r="K22">
        <f ca="1"/>
        <v>0</v>
      </c>
      <c r="L22">
        <f ca="1"/>
        <v>0</v>
      </c>
    </row>
    <row r="23" spans="2:16" x14ac:dyDescent="0.55000000000000004">
      <c r="B23">
        <v>5.2000000000000005E-2</v>
      </c>
      <c r="C23">
        <f ca="1"/>
        <v>5.5825695089188596E-2</v>
      </c>
      <c r="D23">
        <f ca="1"/>
        <v>1</v>
      </c>
      <c r="E23" s="12">
        <f ca="1"/>
        <v>101.01765716789524</v>
      </c>
      <c r="F23" s="11">
        <f ca="1"/>
        <v>9.7346846130147338</v>
      </c>
      <c r="G23" s="8">
        <f ca="1"/>
        <v>-9.6366168904860994E-2</v>
      </c>
      <c r="H23" s="11">
        <f ca="1"/>
        <v>47.220941822129511</v>
      </c>
      <c r="I23" s="8">
        <f ca="1"/>
        <v>-0.43712203130189103</v>
      </c>
      <c r="J23" s="8">
        <f ca="1"/>
        <v>3.0638983235411104</v>
      </c>
      <c r="K23">
        <f ca="1"/>
        <v>0</v>
      </c>
      <c r="L23">
        <f ca="1"/>
        <v>0</v>
      </c>
    </row>
    <row r="24" spans="2:16" x14ac:dyDescent="0.55000000000000004">
      <c r="B24">
        <v>5.6000000000000001E-2</v>
      </c>
      <c r="C24">
        <f ca="1"/>
        <v>9.6038008267417485E-2</v>
      </c>
      <c r="D24">
        <f ca="1"/>
        <v>1</v>
      </c>
      <c r="E24" s="12">
        <f ca="1"/>
        <v>101.82521730568719</v>
      </c>
      <c r="F24" s="11">
        <f ca="1"/>
        <v>-3.6235949350723127</v>
      </c>
      <c r="G24" s="8">
        <f ca="1"/>
        <v>3.5586419857018325E-2</v>
      </c>
      <c r="H24" s="11">
        <f ca="1"/>
        <v>43.597346887057199</v>
      </c>
      <c r="I24" s="8">
        <f ca="1"/>
        <v>-0.40153561144487271</v>
      </c>
      <c r="J24" s="8">
        <f ca="1"/>
        <v>2.7108959957110628</v>
      </c>
      <c r="K24">
        <f ca="1"/>
        <v>0</v>
      </c>
      <c r="L24">
        <f ca="1"/>
        <v>0</v>
      </c>
    </row>
    <row r="25" spans="2:16" x14ac:dyDescent="0.55000000000000004">
      <c r="B25">
        <v>0.06</v>
      </c>
      <c r="C25">
        <f ca="1"/>
        <v>0.12874126294007976</v>
      </c>
      <c r="D25">
        <f ca="1"/>
        <v>1</v>
      </c>
      <c r="E25" s="12">
        <f ca="1"/>
        <v>102.48520416774744</v>
      </c>
      <c r="F25" s="11">
        <f ca="1"/>
        <v>-2.9732969129766111</v>
      </c>
      <c r="G25" s="8">
        <f ca="1"/>
        <v>2.9011962625453025E-2</v>
      </c>
      <c r="H25" s="11">
        <f ca="1"/>
        <v>40.624049974080592</v>
      </c>
      <c r="I25" s="8">
        <f ca="1"/>
        <v>-0.37252364881941968</v>
      </c>
      <c r="J25" s="8">
        <f ca="1"/>
        <v>2.4458877675081183</v>
      </c>
      <c r="K25">
        <f ca="1"/>
        <v>0</v>
      </c>
      <c r="L25">
        <f ca="1"/>
        <v>0</v>
      </c>
    </row>
    <row r="26" spans="2:16" x14ac:dyDescent="0.55000000000000004">
      <c r="B26">
        <v>6.4000000000000001E-2</v>
      </c>
      <c r="C26">
        <f ca="1"/>
        <v>0.11211030194572283</v>
      </c>
      <c r="D26">
        <f ca="1"/>
        <v>1</v>
      </c>
      <c r="E26" s="12">
        <f ca="1"/>
        <v>102.13671371447953</v>
      </c>
      <c r="F26" s="11">
        <f ca="1"/>
        <v>1.4359177404104746</v>
      </c>
      <c r="G26" s="8">
        <f ca="1"/>
        <v>-1.4058781491879058E-2</v>
      </c>
      <c r="H26" s="11">
        <f ca="1"/>
        <v>42.059967714491066</v>
      </c>
      <c r="I26" s="8">
        <f ca="1"/>
        <v>-0.38658243031129874</v>
      </c>
      <c r="J26" s="8">
        <f ca="1"/>
        <v>2.5757087027382113</v>
      </c>
      <c r="K26">
        <f ca="1"/>
        <v>0</v>
      </c>
      <c r="L26">
        <f ca="1"/>
        <v>0</v>
      </c>
    </row>
    <row r="27" spans="2:16" x14ac:dyDescent="0.55000000000000004">
      <c r="B27">
        <v>6.8000000000000005E-2</v>
      </c>
      <c r="C27">
        <f ca="1"/>
        <v>8.9196958816675206E-2</v>
      </c>
      <c r="D27">
        <f ca="1"/>
        <v>1</v>
      </c>
      <c r="E27" s="12">
        <f ca="1"/>
        <v>101.66159259085774</v>
      </c>
      <c r="F27" s="11">
        <f ca="1"/>
        <v>2.0546189348192634</v>
      </c>
      <c r="G27" s="8">
        <f ca="1"/>
        <v>-2.0210375250446666E-2</v>
      </c>
      <c r="H27" s="11">
        <f ca="1"/>
        <v>44.114586649310326</v>
      </c>
      <c r="I27" s="8">
        <f ca="1"/>
        <v>-0.40679280556174541</v>
      </c>
      <c r="J27" s="8">
        <f ca="1"/>
        <v>2.7593821814001558</v>
      </c>
      <c r="K27">
        <f ca="1"/>
        <v>0</v>
      </c>
      <c r="L27">
        <f ca="1"/>
        <v>0</v>
      </c>
    </row>
    <row r="28" spans="2:16" x14ac:dyDescent="0.55000000000000004">
      <c r="B28">
        <v>7.2000000000000008E-2</v>
      </c>
      <c r="C28">
        <f ca="1"/>
        <v>6.4549603857941174E-2</v>
      </c>
      <c r="D28">
        <f ca="1"/>
        <v>1</v>
      </c>
      <c r="E28" s="12">
        <f ca="1"/>
        <v>101.15359525310326</v>
      </c>
      <c r="F28" s="11">
        <f ca="1"/>
        <v>2.2780716922099802</v>
      </c>
      <c r="G28" s="8">
        <f ca="1"/>
        <v>-2.2520916696137816E-2</v>
      </c>
      <c r="H28" s="11">
        <f ca="1"/>
        <v>46.392658341520303</v>
      </c>
      <c r="I28" s="8">
        <f ca="1"/>
        <v>-0.42931372225788322</v>
      </c>
      <c r="J28" s="8">
        <f ca="1"/>
        <v>2.9660318436431936</v>
      </c>
      <c r="K28">
        <f ca="1"/>
        <v>0</v>
      </c>
      <c r="L28">
        <f ca="1"/>
        <v>0</v>
      </c>
    </row>
    <row r="29" spans="2:16" x14ac:dyDescent="0.55000000000000004">
      <c r="B29">
        <v>7.5999999999999998E-2</v>
      </c>
      <c r="C29">
        <f ca="1"/>
        <v>6.2188497152387646E-2</v>
      </c>
      <c r="D29">
        <f ca="1"/>
        <v>1</v>
      </c>
      <c r="E29" s="12">
        <f ca="1"/>
        <v>101.09775149954979</v>
      </c>
      <c r="F29" s="11">
        <f ca="1"/>
        <v>0.22012762358362506</v>
      </c>
      <c r="G29" s="8">
        <f ca="1"/>
        <v>-2.1773740792306873E-3</v>
      </c>
      <c r="H29" s="11">
        <f ca="1"/>
        <v>46.612785965103924</v>
      </c>
      <c r="I29" s="8">
        <f ca="1"/>
        <v>-0.43149109633711391</v>
      </c>
      <c r="J29" s="8">
        <f ca="1"/>
        <v>2.9900063333460878</v>
      </c>
      <c r="K29">
        <f ca="1"/>
        <v>0</v>
      </c>
      <c r="L29">
        <f ca="1"/>
        <v>0</v>
      </c>
    </row>
    <row r="30" spans="2:16" x14ac:dyDescent="0.55000000000000004">
      <c r="B30">
        <v>0.08</v>
      </c>
      <c r="C30">
        <f ca="1"/>
        <v>7.2600270186219881E-2</v>
      </c>
      <c r="D30">
        <f ca="1"/>
        <v>1</v>
      </c>
      <c r="E30" s="12">
        <f ca="1"/>
        <v>101.30038785521418</v>
      </c>
      <c r="F30" s="11">
        <f ca="1"/>
        <v>-1.0062419614177343</v>
      </c>
      <c r="G30" s="8">
        <f ca="1"/>
        <v>9.9332488524715989E-3</v>
      </c>
      <c r="H30" s="11">
        <f ca="1"/>
        <v>45.606544003686189</v>
      </c>
      <c r="I30" s="8">
        <f ca="1"/>
        <v>-0.42155784748464231</v>
      </c>
      <c r="J30" s="8">
        <f ca="1"/>
        <v>2.902570550082693</v>
      </c>
      <c r="K30">
        <f ca="1"/>
        <v>0</v>
      </c>
      <c r="L30">
        <f ca="1"/>
        <v>0</v>
      </c>
    </row>
    <row r="31" spans="2:16" x14ac:dyDescent="0.55000000000000004">
      <c r="B31">
        <v>8.4000000000000005E-2</v>
      </c>
      <c r="C31">
        <f ca="1"/>
        <v>0.14251084649889106</v>
      </c>
      <c r="D31">
        <f ca="1"/>
        <v>1</v>
      </c>
      <c r="E31" s="12">
        <f ca="1"/>
        <v>102.71851214713912</v>
      </c>
      <c r="F31" s="11">
        <f ca="1"/>
        <v>-6.7620924864904453</v>
      </c>
      <c r="G31" s="8">
        <f ca="1"/>
        <v>6.5831293163632343E-2</v>
      </c>
      <c r="H31" s="11">
        <f ca="1"/>
        <v>38.844451517195743</v>
      </c>
      <c r="I31" s="8">
        <f ca="1"/>
        <v>-0.35572655432100997</v>
      </c>
      <c r="J31" s="8">
        <f ca="1"/>
        <v>2.304749126113137</v>
      </c>
      <c r="K31">
        <f ca="1"/>
        <v>0</v>
      </c>
      <c r="L31">
        <f ca="1"/>
        <v>0</v>
      </c>
    </row>
    <row r="32" spans="2:16" x14ac:dyDescent="0.55000000000000004">
      <c r="B32">
        <v>8.7999999999999995E-2</v>
      </c>
      <c r="C32">
        <f ca="1"/>
        <v>7.5715597939813417E-2</v>
      </c>
      <c r="D32">
        <f ca="1"/>
        <v>1</v>
      </c>
      <c r="E32" s="12">
        <f ca="1"/>
        <v>101.34730743768709</v>
      </c>
      <c r="F32" s="11">
        <f ca="1"/>
        <v>6.3314404515109484</v>
      </c>
      <c r="G32" s="8">
        <f ca="1"/>
        <v>-6.2472705112603055E-2</v>
      </c>
      <c r="H32" s="11">
        <f ca="1"/>
        <v>45.175891968706694</v>
      </c>
      <c r="I32" s="8">
        <f ca="1"/>
        <v>-0.41819925943361302</v>
      </c>
      <c r="J32" s="8">
        <f ca="1"/>
        <v>2.79252305267525</v>
      </c>
      <c r="K32">
        <f ca="1"/>
        <v>0</v>
      </c>
      <c r="L32">
        <f ca="1"/>
        <v>0</v>
      </c>
    </row>
    <row r="33" spans="2:12" x14ac:dyDescent="0.55000000000000004">
      <c r="B33">
        <v>9.1999999999999998E-2</v>
      </c>
      <c r="C33">
        <f ca="1"/>
        <v>1.7974698379898804E-2</v>
      </c>
      <c r="D33">
        <f ca="1"/>
        <v>1</v>
      </c>
      <c r="E33" s="12">
        <f ca="1"/>
        <v>100.17564804838226</v>
      </c>
      <c r="F33" s="11">
        <f ca="1"/>
        <v>5.7252477830215556</v>
      </c>
      <c r="G33" s="8">
        <f ca="1"/>
        <v>-5.7152091297242302E-2</v>
      </c>
      <c r="H33" s="11">
        <f ca="1"/>
        <v>50.901139751728252</v>
      </c>
      <c r="I33" s="8">
        <f ca="1"/>
        <v>-0.47535135073085533</v>
      </c>
      <c r="J33" s="8">
        <f ca="1"/>
        <v>3.2825101415909756</v>
      </c>
      <c r="K33">
        <f ca="1"/>
        <v>0</v>
      </c>
      <c r="L33">
        <f ca="1"/>
        <v>0</v>
      </c>
    </row>
    <row r="34" spans="2:12" x14ac:dyDescent="0.55000000000000004">
      <c r="B34">
        <v>9.6000000000000002E-2</v>
      </c>
      <c r="C34">
        <f ca="1"/>
        <v>-8.908321745576292E-3</v>
      </c>
      <c r="D34">
        <f ca="1"/>
        <v>1</v>
      </c>
      <c r="E34" s="12">
        <f ca="1"/>
        <v>99.630517836461451</v>
      </c>
      <c r="F34" s="11">
        <f ca="1"/>
        <v>2.770578563455909</v>
      </c>
      <c r="G34" s="8">
        <f ca="1"/>
        <v>-2.7808533204692121E-2</v>
      </c>
      <c r="H34" s="11">
        <f ca="1"/>
        <v>53.671718315184158</v>
      </c>
      <c r="I34" s="8">
        <f ca="1"/>
        <v>-0.50315988393554745</v>
      </c>
      <c r="J34" s="8">
        <f ca="1"/>
        <v>3.5416385241517219</v>
      </c>
      <c r="K34">
        <f ca="1"/>
        <v>0</v>
      </c>
      <c r="L34">
        <f ca="1"/>
        <v>0.36948216353854946</v>
      </c>
    </row>
    <row r="35" spans="2:12" x14ac:dyDescent="0.55000000000000004">
      <c r="B35">
        <v>0.1</v>
      </c>
      <c r="C35">
        <f ca="1"/>
        <v>-9.0162032866715036E-2</v>
      </c>
      <c r="D35">
        <f ca="1"/>
        <v>1</v>
      </c>
      <c r="E35" s="12">
        <f ca="1"/>
        <v>98.016690894124793</v>
      </c>
      <c r="F35" s="11">
        <f ca="1"/>
        <v>8.2197483491183281</v>
      </c>
      <c r="G35" s="8">
        <f ca="1"/>
        <v>-8.3860700398436183E-2</v>
      </c>
      <c r="H35" s="11">
        <f ca="1"/>
        <v>61.891466664302484</v>
      </c>
      <c r="I35" s="8">
        <f ca="1"/>
        <v>-0.58702058433398363</v>
      </c>
      <c r="J35" s="8">
        <f ca="1"/>
        <v>4.3536515011498977</v>
      </c>
      <c r="K35">
        <f ca="1"/>
        <v>0</v>
      </c>
      <c r="L35">
        <f ca="1"/>
        <v>1.9833091058752075</v>
      </c>
    </row>
    <row r="36" spans="2:12" x14ac:dyDescent="0.55000000000000004">
      <c r="B36">
        <v>0.10400000000000001</v>
      </c>
      <c r="C36">
        <f ca="1"/>
        <v>-2.3751379940768785E-2</v>
      </c>
      <c r="D36">
        <f ca="1"/>
        <v>1</v>
      </c>
      <c r="E36" s="12">
        <f ca="1"/>
        <v>99.319299732901072</v>
      </c>
      <c r="F36" s="11">
        <f ca="1"/>
        <v>-6.6162832945702794</v>
      </c>
      <c r="G36" s="8">
        <f ca="1"/>
        <v>6.6616290211101159E-2</v>
      </c>
      <c r="H36" s="11">
        <f ca="1"/>
        <v>55.275183369732204</v>
      </c>
      <c r="I36" s="8">
        <f ca="1"/>
        <v>-0.52040429412288247</v>
      </c>
      <c r="J36" s="8">
        <f ca="1"/>
        <v>3.5889932994528309</v>
      </c>
      <c r="K36">
        <f ca="1"/>
        <v>0</v>
      </c>
      <c r="L36">
        <f ca="1"/>
        <v>0.68070026709892772</v>
      </c>
    </row>
    <row r="37" spans="2:12" x14ac:dyDescent="0.55000000000000004">
      <c r="B37">
        <v>0.108</v>
      </c>
      <c r="C37">
        <f ca="1"/>
        <v>1.9560517712158415E-2</v>
      </c>
      <c r="D37">
        <f ca="1"/>
        <v>1</v>
      </c>
      <c r="E37" s="12">
        <f ca="1"/>
        <v>100.17536393726903</v>
      </c>
      <c r="F37" s="11">
        <f ca="1"/>
        <v>-4.4775551609734618</v>
      </c>
      <c r="G37" s="8">
        <f ca="1"/>
        <v>4.4697168894513417E-2</v>
      </c>
      <c r="H37" s="11">
        <f ca="1"/>
        <v>50.797628208758745</v>
      </c>
      <c r="I37" s="8">
        <f ca="1"/>
        <v>-0.47570712522836905</v>
      </c>
      <c r="J37" s="8">
        <f ca="1"/>
        <v>3.1434938114548601</v>
      </c>
      <c r="K37">
        <f ca="1"/>
        <v>0</v>
      </c>
      <c r="L37">
        <f ca="1"/>
        <v>0</v>
      </c>
    </row>
    <row r="38" spans="2:12" x14ac:dyDescent="0.55000000000000004">
      <c r="B38">
        <v>0.112</v>
      </c>
      <c r="C38">
        <f ca="1"/>
        <v>3.7013913685201127E-2</v>
      </c>
      <c r="D38">
        <f ca="1"/>
        <v>1</v>
      </c>
      <c r="E38" s="12">
        <f ca="1"/>
        <v>100.51761328645499</v>
      </c>
      <c r="F38" s="11">
        <f ca="1"/>
        <v>-1.8262714757265377</v>
      </c>
      <c r="G38" s="8">
        <f ca="1"/>
        <v>1.8168671300640926E-2</v>
      </c>
      <c r="H38" s="11">
        <f ca="1"/>
        <v>48.971356733032209</v>
      </c>
      <c r="I38" s="8">
        <f ca="1"/>
        <v>-0.45753845392772813</v>
      </c>
      <c r="J38" s="8">
        <f ca="1"/>
        <v>2.9806833574423308</v>
      </c>
      <c r="K38">
        <f ca="1"/>
        <v>0</v>
      </c>
      <c r="L38">
        <f ca="1"/>
        <v>0</v>
      </c>
    </row>
    <row r="39" spans="2:12" x14ac:dyDescent="0.55000000000000004">
      <c r="B39">
        <v>0.11600000000000001</v>
      </c>
      <c r="C39">
        <f ca="1"/>
        <v>3.354537031581116E-2</v>
      </c>
      <c r="D39">
        <f ca="1"/>
        <v>1</v>
      </c>
      <c r="E39" s="12">
        <f ca="1"/>
        <v>100.4398720156037</v>
      </c>
      <c r="F39" s="11">
        <f ca="1"/>
        <v>0.40185683644352471</v>
      </c>
      <c r="G39" s="8">
        <f ca="1"/>
        <v>-4.0009692204814318E-3</v>
      </c>
      <c r="H39" s="11">
        <f ca="1"/>
        <v>49.373213569475737</v>
      </c>
      <c r="I39" s="8">
        <f ca="1"/>
        <v>-0.46153942314820956</v>
      </c>
      <c r="J39" s="8">
        <f ca="1"/>
        <v>3.0162529783140073</v>
      </c>
      <c r="K39">
        <f ca="1"/>
        <v>0</v>
      </c>
      <c r="L39">
        <f ca="1"/>
        <v>0</v>
      </c>
    </row>
    <row r="40" spans="2:12" x14ac:dyDescent="0.55000000000000004">
      <c r="B40">
        <v>0.12</v>
      </c>
      <c r="C40">
        <f ca="1"/>
        <v>-2.1534713617973808E-3</v>
      </c>
      <c r="D40">
        <f ca="1"/>
        <v>1</v>
      </c>
      <c r="E40" s="12">
        <f ca="1"/>
        <v>99.717330836503407</v>
      </c>
      <c r="F40" s="11">
        <f ca="1"/>
        <v>3.9624528619971753</v>
      </c>
      <c r="G40" s="8">
        <f ca="1"/>
        <v>-3.9736852448387483E-2</v>
      </c>
      <c r="H40" s="11">
        <f ca="1"/>
        <v>53.335666431472916</v>
      </c>
      <c r="I40" s="8">
        <f ca="1"/>
        <v>-0.50127627559659704</v>
      </c>
      <c r="J40" s="8">
        <f ca="1"/>
        <v>3.3497342173167866</v>
      </c>
      <c r="K40">
        <f ca="1"/>
        <v>0</v>
      </c>
      <c r="L40">
        <f ca="1"/>
        <v>0.28266916349659255</v>
      </c>
    </row>
    <row r="41" spans="2:12" x14ac:dyDescent="0.55000000000000004">
      <c r="B41">
        <v>0.124</v>
      </c>
      <c r="C41">
        <f ca="1"/>
        <v>-4.6633720756715291E-2</v>
      </c>
      <c r="D41">
        <f ca="1"/>
        <v>1</v>
      </c>
      <c r="E41" s="12">
        <f ca="1"/>
        <v>98.826268195168595</v>
      </c>
      <c r="F41" s="11">
        <f ca="1"/>
        <v>5.0165976931659406</v>
      </c>
      <c r="G41" s="8">
        <f ca="1"/>
        <v>-5.076178413677257E-2</v>
      </c>
      <c r="H41" s="11">
        <f ca="1"/>
        <v>58.352264124638857</v>
      </c>
      <c r="I41" s="8">
        <f ca="1"/>
        <v>-0.55203805973336961</v>
      </c>
      <c r="J41" s="8">
        <f ca="1"/>
        <v>3.7964027794883677</v>
      </c>
      <c r="K41">
        <f ca="1"/>
        <v>0</v>
      </c>
      <c r="L41">
        <f ca="1"/>
        <v>1.1737318048314052</v>
      </c>
    </row>
    <row r="42" spans="2:12" x14ac:dyDescent="0.55000000000000004">
      <c r="B42">
        <v>0.128</v>
      </c>
      <c r="C42">
        <f ca="1"/>
        <v>-1.8333759578466089E-2</v>
      </c>
      <c r="D42">
        <f ca="1"/>
        <v>1</v>
      </c>
      <c r="E42" s="12">
        <f ca="1"/>
        <v>99.379259412884934</v>
      </c>
      <c r="F42" s="11">
        <f ca="1"/>
        <v>-3.0234254956731501</v>
      </c>
      <c r="G42" s="8">
        <f ca="1"/>
        <v>3.0423103508066096E-2</v>
      </c>
      <c r="H42" s="11">
        <f ca="1"/>
        <v>55.328838628965705</v>
      </c>
      <c r="I42" s="8">
        <f ca="1"/>
        <v>-0.52161495622530352</v>
      </c>
      <c r="J42" s="8">
        <f ca="1"/>
        <v>3.4911305806106512</v>
      </c>
      <c r="K42">
        <f ca="1"/>
        <v>0</v>
      </c>
      <c r="L42">
        <f ca="1"/>
        <v>0.62074058711506552</v>
      </c>
    </row>
    <row r="43" spans="2:12" x14ac:dyDescent="0.55000000000000004">
      <c r="B43">
        <v>0.13200000000000001</v>
      </c>
      <c r="C43">
        <f ca="1"/>
        <v>3.0261062606854152E-2</v>
      </c>
      <c r="D43">
        <f ca="1"/>
        <v>1</v>
      </c>
      <c r="E43" s="12">
        <f ca="1"/>
        <v>100.34180407456776</v>
      </c>
      <c r="F43" s="11">
        <f ca="1"/>
        <v>-5.5282130016268844</v>
      </c>
      <c r="G43" s="8">
        <f ca="1"/>
        <v>5.5093817104570508E-2</v>
      </c>
      <c r="H43" s="11">
        <f ca="1"/>
        <v>49.800625627338817</v>
      </c>
      <c r="I43" s="8">
        <f ca="1"/>
        <v>-0.46652113912073301</v>
      </c>
      <c r="J43" s="8">
        <f ca="1"/>
        <v>2.9890528890420569</v>
      </c>
      <c r="K43">
        <f ca="1"/>
        <v>0</v>
      </c>
      <c r="L43">
        <f ca="1"/>
        <v>0</v>
      </c>
    </row>
    <row r="44" spans="2:12" x14ac:dyDescent="0.55000000000000004">
      <c r="B44">
        <v>0.13600000000000001</v>
      </c>
      <c r="C44">
        <f ca="1"/>
        <v>-2.2664748330877203E-2</v>
      </c>
      <c r="D44">
        <f ca="1"/>
        <v>1</v>
      </c>
      <c r="E44" s="12">
        <f ca="1"/>
        <v>99.277328949781904</v>
      </c>
      <c r="F44" s="11">
        <f ca="1"/>
        <v>6.237757876964201</v>
      </c>
      <c r="G44" s="8">
        <f ca="1"/>
        <v>-6.2831644877547888E-2</v>
      </c>
      <c r="H44" s="11">
        <f ca="1"/>
        <v>56.03838350430302</v>
      </c>
      <c r="I44" s="8">
        <f ca="1"/>
        <v>-0.5293527839982809</v>
      </c>
      <c r="J44" s="8">
        <f ca="1"/>
        <v>3.4856530368228391</v>
      </c>
      <c r="K44">
        <f ca="1"/>
        <v>0</v>
      </c>
      <c r="L44">
        <f ca="1"/>
        <v>0.72267105021809641</v>
      </c>
    </row>
    <row r="45" spans="2:12" x14ac:dyDescent="0.55000000000000004">
      <c r="B45">
        <v>0.14000000000000001</v>
      </c>
      <c r="C45">
        <f ca="1"/>
        <v>0.15845469058869105</v>
      </c>
      <c r="D45">
        <f ca="1"/>
        <v>1</v>
      </c>
      <c r="E45" s="12">
        <f ca="1"/>
        <v>102.93123296132308</v>
      </c>
      <c r="F45" s="11">
        <f ca="1"/>
        <v>-21.586282801758674</v>
      </c>
      <c r="G45" s="8">
        <f ca="1"/>
        <v>0.20971557593087248</v>
      </c>
      <c r="H45" s="11">
        <f ca="1"/>
        <v>34.452100702544342</v>
      </c>
      <c r="I45" s="8">
        <f ca="1"/>
        <v>-0.31963720806740842</v>
      </c>
      <c r="J45" s="8">
        <f ca="1"/>
        <v>1.5514487758510285</v>
      </c>
      <c r="K45">
        <f ca="1"/>
        <v>0</v>
      </c>
      <c r="L45">
        <f ca="1"/>
        <v>0</v>
      </c>
    </row>
    <row r="46" spans="2:12" x14ac:dyDescent="0.55000000000000004">
      <c r="B46">
        <v>0.14400000000000002</v>
      </c>
      <c r="C46">
        <f ca="1"/>
        <v>0.15510755560686768</v>
      </c>
      <c r="D46">
        <f ca="1"/>
        <v>1</v>
      </c>
      <c r="E46" s="12">
        <f ca="1"/>
        <v>102.85412241454451</v>
      </c>
      <c r="F46" s="11">
        <f ca="1"/>
        <v>0.14631311602975589</v>
      </c>
      <c r="G46" s="8">
        <f ca="1"/>
        <v>-1.4225304012614459E-3</v>
      </c>
      <c r="H46" s="11">
        <f ca="1"/>
        <v>34.598413818574102</v>
      </c>
      <c r="I46" s="8">
        <f ca="1"/>
        <v>-0.32105973846866986</v>
      </c>
      <c r="J46" s="8">
        <f ca="1"/>
        <v>1.5760961757358842</v>
      </c>
      <c r="K46">
        <f ca="1"/>
        <v>0</v>
      </c>
      <c r="L46">
        <f ca="1"/>
        <v>0</v>
      </c>
    </row>
    <row r="47" spans="2:12" x14ac:dyDescent="0.55000000000000004">
      <c r="B47">
        <v>0.14799999999999999</v>
      </c>
      <c r="C47">
        <f ca="1"/>
        <v>5.9858488567427787E-2</v>
      </c>
      <c r="D47">
        <f ca="1"/>
        <v>1</v>
      </c>
      <c r="E47" s="12">
        <f ca="1"/>
        <v>100.90524253109936</v>
      </c>
      <c r="F47" s="11">
        <f ca="1"/>
        <v>11.125580627417531</v>
      </c>
      <c r="G47" s="8">
        <f ca="1"/>
        <v>-0.11025770662003598</v>
      </c>
      <c r="H47" s="11">
        <f ca="1"/>
        <v>45.723994445991636</v>
      </c>
      <c r="I47" s="8">
        <f ca="1"/>
        <v>-0.43131744508870584</v>
      </c>
      <c r="J47" s="8">
        <f ca="1"/>
        <v>2.2018030414216412</v>
      </c>
      <c r="K47">
        <f ca="1"/>
        <v>0</v>
      </c>
      <c r="L47">
        <f ca="1"/>
        <v>0</v>
      </c>
    </row>
    <row r="48" spans="2:12" x14ac:dyDescent="0.55000000000000004">
      <c r="B48">
        <v>0.152</v>
      </c>
      <c r="C48">
        <f ca="1"/>
        <v>0.13469089892384351</v>
      </c>
      <c r="D48">
        <f ca="1"/>
        <v>1</v>
      </c>
      <c r="E48" s="12">
        <f ca="1"/>
        <v>102.41860297394057</v>
      </c>
      <c r="F48" s="11">
        <f ca="1"/>
        <v>-9.3729237868874655</v>
      </c>
      <c r="G48" s="8">
        <f ca="1"/>
        <v>9.1515833205343733E-2</v>
      </c>
      <c r="H48" s="11">
        <f ca="1"/>
        <v>36.351070659104167</v>
      </c>
      <c r="I48" s="8">
        <f ca="1"/>
        <v>-0.33980161188336211</v>
      </c>
      <c r="J48" s="8">
        <f ca="1"/>
        <v>1.5490642817170581</v>
      </c>
      <c r="K48">
        <f ca="1"/>
        <v>0</v>
      </c>
      <c r="L48">
        <f ca="1"/>
        <v>0</v>
      </c>
    </row>
    <row r="49" spans="2:12" x14ac:dyDescent="0.55000000000000004">
      <c r="B49">
        <v>0.156</v>
      </c>
      <c r="C49">
        <f ca="1"/>
        <v>0.10417310401581845</v>
      </c>
      <c r="D49">
        <f ca="1"/>
        <v>1</v>
      </c>
      <c r="E49" s="12">
        <f ca="1"/>
        <v>101.78724553136507</v>
      </c>
      <c r="F49" s="11">
        <f ca="1"/>
        <v>3.5474870950807262</v>
      </c>
      <c r="G49" s="8">
        <f ca="1"/>
        <v>-3.4851980486961809E-2</v>
      </c>
      <c r="H49" s="11">
        <f ca="1"/>
        <v>39.898557754184893</v>
      </c>
      <c r="I49" s="8">
        <f ca="1"/>
        <v>-0.37465359237032392</v>
      </c>
      <c r="J49" s="8">
        <f ca="1"/>
        <v>1.7636005583787693</v>
      </c>
      <c r="K49">
        <f ca="1"/>
        <v>0</v>
      </c>
      <c r="L49">
        <f ca="1"/>
        <v>0</v>
      </c>
    </row>
    <row r="50" spans="2:12" x14ac:dyDescent="0.55000000000000004">
      <c r="B50">
        <v>0.16</v>
      </c>
      <c r="C50">
        <f ca="1"/>
        <v>0.25439758735494339</v>
      </c>
      <c r="D50">
        <f ca="1"/>
        <v>1</v>
      </c>
      <c r="E50" s="12">
        <f ca="1"/>
        <v>104.88344683333936</v>
      </c>
      <c r="F50" s="11">
        <f ca="1"/>
        <v>-17.816643232268802</v>
      </c>
      <c r="G50" s="8">
        <f ca="1"/>
        <v>0.16987087829578668</v>
      </c>
      <c r="H50" s="11">
        <f ca="1"/>
        <v>22.08191452191609</v>
      </c>
      <c r="I50" s="8">
        <f ca="1"/>
        <v>-0.20478271407453724</v>
      </c>
      <c r="J50" s="8">
        <f ca="1"/>
        <v>0.60359761789242583</v>
      </c>
      <c r="K50">
        <f ca="1"/>
        <v>0</v>
      </c>
      <c r="L50">
        <f ca="1"/>
        <v>0</v>
      </c>
    </row>
    <row r="51" spans="2:12" x14ac:dyDescent="0.55000000000000004">
      <c r="B51">
        <v>0.16400000000000001</v>
      </c>
      <c r="C51">
        <f ca="1"/>
        <v>0.2729941107133993</v>
      </c>
      <c r="D51">
        <f ca="1"/>
        <v>1</v>
      </c>
      <c r="E51" s="12">
        <f ca="1"/>
        <v>105.26584506115424</v>
      </c>
      <c r="F51" s="11">
        <f ca="1"/>
        <v>-2.3017124467928629</v>
      </c>
      <c r="G51" s="8">
        <f ca="1"/>
        <v>2.1865710054915555E-2</v>
      </c>
      <c r="H51" s="11">
        <f ca="1"/>
        <v>19.780202075123228</v>
      </c>
      <c r="I51" s="8">
        <f ca="1"/>
        <v>-0.18291700401962169</v>
      </c>
      <c r="J51" s="8">
        <f ca="1"/>
        <v>0.52528907094320587</v>
      </c>
      <c r="K51">
        <f ca="1"/>
        <v>0</v>
      </c>
      <c r="L51">
        <f ca="1"/>
        <v>0</v>
      </c>
    </row>
    <row r="52" spans="2:12" x14ac:dyDescent="0.55000000000000004">
      <c r="B52">
        <v>0.16800000000000001</v>
      </c>
      <c r="C52">
        <f ca="1"/>
        <v>0.30363133677245852</v>
      </c>
      <c r="D52">
        <f ca="1"/>
        <v>1</v>
      </c>
      <c r="E52" s="12">
        <f ca="1"/>
        <v>105.90436324774393</v>
      </c>
      <c r="F52" s="11">
        <f ca="1"/>
        <v>-3.3339778599980532</v>
      </c>
      <c r="G52" s="8">
        <f ca="1"/>
        <v>3.1481024556078208E-2</v>
      </c>
      <c r="H52" s="11">
        <f ca="1"/>
        <v>16.446224215125174</v>
      </c>
      <c r="I52" s="8">
        <f ca="1"/>
        <v>-0.15143597946354348</v>
      </c>
      <c r="J52" s="8">
        <f ca="1"/>
        <v>0.40849323724017594</v>
      </c>
      <c r="K52">
        <f ca="1"/>
        <v>0</v>
      </c>
      <c r="L52">
        <f ca="1"/>
        <v>0</v>
      </c>
    </row>
    <row r="53" spans="2:12" x14ac:dyDescent="0.55000000000000004">
      <c r="B53">
        <v>0.17200000000000001</v>
      </c>
      <c r="C53">
        <f ca="1"/>
        <v>0.26351286560042125</v>
      </c>
      <c r="D53">
        <f ca="1"/>
        <v>1</v>
      </c>
      <c r="E53" s="12">
        <f ca="1"/>
        <v>105.04961465810005</v>
      </c>
      <c r="F53" s="11">
        <f ca="1"/>
        <v>3.1524920088344204</v>
      </c>
      <c r="G53" s="8">
        <f ca="1"/>
        <v>-3.0009553286746316E-2</v>
      </c>
      <c r="H53" s="11">
        <f ca="1"/>
        <v>19.598716223959595</v>
      </c>
      <c r="I53" s="8">
        <f ca="1"/>
        <v>-0.1814455327502898</v>
      </c>
      <c r="J53" s="8">
        <f ca="1"/>
        <v>0.53793292710797758</v>
      </c>
      <c r="K53">
        <f ca="1"/>
        <v>0</v>
      </c>
      <c r="L53">
        <f ca="1"/>
        <v>0</v>
      </c>
    </row>
    <row r="54" spans="2:12" x14ac:dyDescent="0.55000000000000004">
      <c r="B54">
        <v>0.17599999999999999</v>
      </c>
      <c r="C54">
        <f ca="1"/>
        <v>0.32570305794946414</v>
      </c>
      <c r="D54">
        <f ca="1"/>
        <v>1</v>
      </c>
      <c r="E54" s="12">
        <f ca="1"/>
        <v>106.35587663069819</v>
      </c>
      <c r="F54" s="11">
        <f ca="1"/>
        <v>-6.2093662897898154</v>
      </c>
      <c r="G54" s="8">
        <f ca="1"/>
        <v>5.8382916736709645E-2</v>
      </c>
      <c r="H54" s="11">
        <f ca="1"/>
        <v>13.389349934169779</v>
      </c>
      <c r="I54" s="8">
        <f ca="1"/>
        <v>-0.12306261601358015</v>
      </c>
      <c r="J54" s="8">
        <f ca="1"/>
        <v>0.30091752757846457</v>
      </c>
      <c r="K54">
        <f ca="1"/>
        <v>0</v>
      </c>
      <c r="L54">
        <f ca="1"/>
        <v>0</v>
      </c>
    </row>
    <row r="55" spans="2:12" x14ac:dyDescent="0.55000000000000004">
      <c r="B55">
        <v>0.18</v>
      </c>
      <c r="C55">
        <f ca="1"/>
        <v>0.24414150733173162</v>
      </c>
      <c r="D55">
        <f ca="1"/>
        <v>1</v>
      </c>
      <c r="E55" s="12">
        <f ca="1"/>
        <v>104.62666968653495</v>
      </c>
      <c r="F55" s="11">
        <f ca="1"/>
        <v>6.9099971952783257</v>
      </c>
      <c r="G55" s="8">
        <f ca="1"/>
        <v>-6.6044319445327959E-2</v>
      </c>
      <c r="H55" s="11">
        <f ca="1"/>
        <v>20.299347129448105</v>
      </c>
      <c r="I55" s="8">
        <f ca="1"/>
        <v>-0.18910693545890811</v>
      </c>
      <c r="J55" s="8">
        <f ca="1"/>
        <v>0.51371825775604307</v>
      </c>
      <c r="K55">
        <f ca="1"/>
        <v>0</v>
      </c>
      <c r="L55">
        <f ca="1"/>
        <v>0</v>
      </c>
    </row>
    <row r="56" spans="2:12" x14ac:dyDescent="0.55000000000000004">
      <c r="B56">
        <v>0.184</v>
      </c>
      <c r="C56">
        <f ca="1"/>
        <v>0.12316257154747211</v>
      </c>
      <c r="D56">
        <f ca="1"/>
        <v>1</v>
      </c>
      <c r="E56" s="12">
        <f ca="1"/>
        <v>102.1173559354601</v>
      </c>
      <c r="F56" s="11">
        <f ca="1"/>
        <v>14.625937690340049</v>
      </c>
      <c r="G56" s="8">
        <f ca="1"/>
        <v>-0.14322675666988371</v>
      </c>
      <c r="H56" s="11">
        <f ca="1"/>
        <v>34.925284819788153</v>
      </c>
      <c r="I56" s="8">
        <f ca="1"/>
        <v>-0.33233369212879182</v>
      </c>
      <c r="J56" s="8">
        <f ca="1"/>
        <v>0.98824689132670329</v>
      </c>
      <c r="K56">
        <f ca="1"/>
        <v>0</v>
      </c>
      <c r="L56">
        <f ca="1"/>
        <v>0</v>
      </c>
    </row>
    <row r="57" spans="2:12" x14ac:dyDescent="0.55000000000000004">
      <c r="B57">
        <v>0.188</v>
      </c>
      <c r="C57">
        <f ca="1"/>
        <v>6.2677697925070192E-2</v>
      </c>
      <c r="D57">
        <f ca="1"/>
        <v>1</v>
      </c>
      <c r="E57" s="12">
        <f ca="1"/>
        <v>100.88141575142484</v>
      </c>
      <c r="F57" s="11">
        <f ca="1"/>
        <v>8.8745282214770302</v>
      </c>
      <c r="G57" s="8">
        <f ca="1"/>
        <v>-8.7969901645156945E-2</v>
      </c>
      <c r="H57" s="11">
        <f ca="1"/>
        <v>43.799813041265182</v>
      </c>
      <c r="I57" s="8">
        <f ca="1"/>
        <v>-0.42030359377394877</v>
      </c>
      <c r="J57" s="8">
        <f ca="1"/>
        <v>1.3989914559374768</v>
      </c>
      <c r="K57">
        <f ca="1"/>
        <v>0</v>
      </c>
      <c r="L57">
        <f ca="1"/>
        <v>0</v>
      </c>
    </row>
    <row r="58" spans="2:12" x14ac:dyDescent="0.55000000000000004">
      <c r="B58">
        <v>0.192</v>
      </c>
      <c r="C58">
        <f ca="1"/>
        <v>1.7151767407182071E-2</v>
      </c>
      <c r="D58">
        <f ca="1"/>
        <v>1</v>
      </c>
      <c r="E58" s="12">
        <f ca="1"/>
        <v>99.95904373751155</v>
      </c>
      <c r="F58" s="11">
        <f ca="1"/>
        <v>7.3451693249783077</v>
      </c>
      <c r="G58" s="8">
        <f ca="1"/>
        <v>-7.3481788644021329E-2</v>
      </c>
      <c r="H58" s="11">
        <f ca="1"/>
        <v>51.144982366243489</v>
      </c>
      <c r="I58" s="8">
        <f ca="1"/>
        <v>-0.4937853824179701</v>
      </c>
      <c r="J58" s="8">
        <f ca="1"/>
        <v>1.7866677281817473</v>
      </c>
      <c r="K58">
        <f ca="1"/>
        <v>0</v>
      </c>
      <c r="L58">
        <f ca="1"/>
        <v>4.0956262488450079E-2</v>
      </c>
    </row>
    <row r="59" spans="2:12" x14ac:dyDescent="0.55000000000000004">
      <c r="B59">
        <v>0.19600000000000001</v>
      </c>
      <c r="C59">
        <f ca="1"/>
        <v>0.1395904243472374</v>
      </c>
      <c r="D59">
        <f ca="1"/>
        <v>1</v>
      </c>
      <c r="E59" s="12">
        <f ca="1"/>
        <v>102.42883562428176</v>
      </c>
      <c r="F59" s="11">
        <f ca="1"/>
        <v>-20.388154259563823</v>
      </c>
      <c r="G59" s="8">
        <f ca="1"/>
        <v>0.19904701772018007</v>
      </c>
      <c r="H59" s="11">
        <f ca="1"/>
        <v>30.756828106679666</v>
      </c>
      <c r="I59" s="8">
        <f ca="1"/>
        <v>-0.29473836469779002</v>
      </c>
      <c r="J59" s="8">
        <f ca="1"/>
        <v>0.56712059688012317</v>
      </c>
      <c r="K59">
        <f ca="1"/>
        <v>0</v>
      </c>
      <c r="L59">
        <f ca="1"/>
        <v>0</v>
      </c>
    </row>
    <row r="60" spans="2:12" x14ac:dyDescent="0.55000000000000004">
      <c r="B60">
        <v>0.2</v>
      </c>
      <c r="C60">
        <f ca="1"/>
        <v>8.2180146848640723E-2</v>
      </c>
      <c r="D60">
        <f ca="1"/>
        <v>1</v>
      </c>
      <c r="E60" s="12">
        <f ca="1"/>
        <v>101.25136783307032</v>
      </c>
      <c r="F60" s="11">
        <f ca="1"/>
        <v>8.8273868799983291</v>
      </c>
      <c r="G60" s="8">
        <f ca="1"/>
        <v>-8.7182890156622284E-2</v>
      </c>
      <c r="H60" s="11">
        <f ca="1"/>
        <v>39.584214986677992</v>
      </c>
      <c r="I60" s="8">
        <f ca="1"/>
        <v>-0.38192125485441231</v>
      </c>
      <c r="J60" s="8">
        <f ca="1"/>
        <v>0.91416552814609986</v>
      </c>
      <c r="K60">
        <f ca="1"/>
        <v>0</v>
      </c>
      <c r="L60">
        <f ca="1"/>
        <v>0</v>
      </c>
    </row>
    <row r="61" spans="2:12" x14ac:dyDescent="0.55000000000000004">
      <c r="B61">
        <v>0.20400000000000001</v>
      </c>
      <c r="C61">
        <f ca="1"/>
        <v>-7.435032907348732E-4</v>
      </c>
      <c r="D61">
        <f ca="1"/>
        <v>1</v>
      </c>
      <c r="E61" s="12">
        <f ca="1"/>
        <v>99.578022770691973</v>
      </c>
      <c r="F61" s="11">
        <f ca="1"/>
        <v>14.819247558515539</v>
      </c>
      <c r="G61" s="8">
        <f ca="1"/>
        <v>-0.14882046405602234</v>
      </c>
      <c r="H61" s="11">
        <f ca="1"/>
        <v>54.403462545193534</v>
      </c>
      <c r="I61" s="8">
        <f ca="1"/>
        <v>-0.53074171891043465</v>
      </c>
      <c r="J61" s="8">
        <f ca="1"/>
        <v>1.5532515741740767</v>
      </c>
      <c r="K61">
        <f ca="1"/>
        <v>0</v>
      </c>
      <c r="L61">
        <f ca="1"/>
        <v>0.42197722930802684</v>
      </c>
    </row>
    <row r="62" spans="2:12" x14ac:dyDescent="0.55000000000000004">
      <c r="B62">
        <v>0.20800000000000002</v>
      </c>
      <c r="C62">
        <f ca="1"/>
        <v>-6.4071755409013345E-2</v>
      </c>
      <c r="D62">
        <f ca="1"/>
        <v>1</v>
      </c>
      <c r="E62" s="12">
        <f ca="1"/>
        <v>98.316890153024474</v>
      </c>
      <c r="F62" s="11">
        <f ca="1"/>
        <v>12.027505175935577</v>
      </c>
      <c r="G62" s="8">
        <f ca="1"/>
        <v>-0.12233406851269879</v>
      </c>
      <c r="H62" s="11">
        <f ca="1"/>
        <v>66.430967721129107</v>
      </c>
      <c r="I62" s="8">
        <f ca="1"/>
        <v>-0.65307578742313344</v>
      </c>
      <c r="J62" s="8">
        <f ca="1"/>
        <v>2.2225872674489295</v>
      </c>
      <c r="K62">
        <f ca="1"/>
        <v>0</v>
      </c>
      <c r="L62">
        <f ca="1"/>
        <v>1.6831098469755261</v>
      </c>
    </row>
    <row r="63" spans="2:12" x14ac:dyDescent="0.55000000000000004">
      <c r="B63">
        <v>0.21199999999999999</v>
      </c>
      <c r="C63">
        <f ca="1"/>
        <v>-0.17014232484757599</v>
      </c>
      <c r="D63">
        <f ca="1"/>
        <v>1</v>
      </c>
      <c r="E63" s="12">
        <f ca="1"/>
        <v>96.245452088078352</v>
      </c>
      <c r="F63" s="11">
        <f ca="1"/>
        <v>17.219990874117357</v>
      </c>
      <c r="G63" s="8">
        <f ca="1"/>
        <v>-0.17891745012905758</v>
      </c>
      <c r="H63" s="11">
        <f ca="1"/>
        <v>83.650958595246465</v>
      </c>
      <c r="I63" s="8">
        <f ca="1"/>
        <v>-0.83199323755219101</v>
      </c>
      <c r="J63" s="8">
        <f ca="1"/>
        <v>3.5753933128118689</v>
      </c>
      <c r="K63">
        <f ca="1"/>
        <v>0</v>
      </c>
      <c r="L63">
        <f ca="1"/>
        <v>3.7545479119216481</v>
      </c>
    </row>
    <row r="64" spans="2:12" x14ac:dyDescent="0.55000000000000004">
      <c r="B64">
        <v>0.216</v>
      </c>
      <c r="C64">
        <f ca="1"/>
        <v>-0.17974057643266811</v>
      </c>
      <c r="D64">
        <f ca="1"/>
        <v>1</v>
      </c>
      <c r="E64" s="12">
        <f ca="1"/>
        <v>96.053187134702227</v>
      </c>
      <c r="F64" s="11">
        <f ca="1"/>
        <v>2.5434540801210219</v>
      </c>
      <c r="G64" s="8">
        <f ca="1"/>
        <v>-2.647964274786796E-2</v>
      </c>
      <c r="H64" s="11">
        <f ca="1"/>
        <v>86.194412675367488</v>
      </c>
      <c r="I64" s="8">
        <f ca="1"/>
        <v>-0.85847288030005897</v>
      </c>
      <c r="J64" s="8">
        <f ca="1"/>
        <v>3.7353564538391026</v>
      </c>
      <c r="K64">
        <f ca="1"/>
        <v>0</v>
      </c>
      <c r="L64">
        <f ca="1"/>
        <v>3.9468128652977725</v>
      </c>
    </row>
    <row r="65" spans="2:12" x14ac:dyDescent="0.55000000000000004">
      <c r="B65">
        <v>0.22</v>
      </c>
      <c r="C65">
        <f ca="1"/>
        <v>-0.27793757405723818</v>
      </c>
      <c r="D65">
        <f ca="1"/>
        <v>1</v>
      </c>
      <c r="E65" s="12">
        <f ca="1"/>
        <v>94.177629176542382</v>
      </c>
      <c r="F65" s="11">
        <f ca="1"/>
        <v>9.2573512619484291</v>
      </c>
      <c r="G65" s="8">
        <f ca="1"/>
        <v>-9.8296711680805782E-2</v>
      </c>
      <c r="H65" s="11">
        <f ca="1"/>
        <v>95.451763937315917</v>
      </c>
      <c r="I65" s="8">
        <f ca="1"/>
        <v>-0.95676959198086475</v>
      </c>
      <c r="J65" s="8">
        <f ca="1"/>
        <v>5.345472096350278</v>
      </c>
      <c r="K65">
        <f ca="1"/>
        <v>0</v>
      </c>
      <c r="L65">
        <f ca="1"/>
        <v>5.8223708234576179</v>
      </c>
    </row>
    <row r="66" spans="2:12" x14ac:dyDescent="0.55000000000000004">
      <c r="B66">
        <v>0.224</v>
      </c>
      <c r="C66">
        <f ca="1"/>
        <v>-0.31607686244446576</v>
      </c>
      <c r="D66">
        <f ca="1"/>
        <v>1</v>
      </c>
      <c r="E66" s="12">
        <f ca="1"/>
        <v>93.454511837312154</v>
      </c>
      <c r="F66" s="11">
        <f ca="1"/>
        <v>2.2995138695749424</v>
      </c>
      <c r="G66" s="8">
        <f ca="1"/>
        <v>-2.460570200803136E-2</v>
      </c>
      <c r="H66" s="11">
        <f ca="1"/>
        <v>97.751277806890855</v>
      </c>
      <c r="I66" s="8">
        <f ca="1"/>
        <v>-0.98137529398889611</v>
      </c>
      <c r="J66" s="8">
        <f ca="1"/>
        <v>6.0373287779598712</v>
      </c>
      <c r="K66">
        <f ca="1"/>
        <v>0</v>
      </c>
      <c r="L66">
        <f ca="1"/>
        <v>6.5454881626878461</v>
      </c>
    </row>
    <row r="67" spans="2:12" x14ac:dyDescent="0.55000000000000004">
      <c r="B67">
        <v>0.22800000000000001</v>
      </c>
      <c r="C67">
        <f ca="1"/>
        <v>-0.45201200208590486</v>
      </c>
      <c r="D67">
        <f ca="1"/>
        <v>1</v>
      </c>
      <c r="E67" s="12">
        <f ca="1"/>
        <v>90.940712715400565</v>
      </c>
      <c r="F67" s="11">
        <f ca="1"/>
        <v>1.6282301474829415</v>
      </c>
      <c r="G67" s="8">
        <f ca="1"/>
        <v>-1.7904303791619669E-2</v>
      </c>
      <c r="H67" s="11">
        <f ca="1"/>
        <v>99.379507954373793</v>
      </c>
      <c r="I67" s="8">
        <f ca="1"/>
        <v>-0.99927959778051578</v>
      </c>
      <c r="J67" s="8">
        <f ca="1"/>
        <v>8.5043091302548817</v>
      </c>
      <c r="K67">
        <f ca="1"/>
        <v>0</v>
      </c>
      <c r="L67">
        <f ca="1"/>
        <v>9.059287284599435</v>
      </c>
    </row>
    <row r="68" spans="2:12" x14ac:dyDescent="0.55000000000000004">
      <c r="B68">
        <v>0.23200000000000001</v>
      </c>
      <c r="C68">
        <f ca="1"/>
        <v>-0.4910217058211539</v>
      </c>
      <c r="D68">
        <f ca="1"/>
        <v>1</v>
      </c>
      <c r="E68" s="12">
        <f ca="1"/>
        <v>90.226740844561263</v>
      </c>
      <c r="F68" s="11">
        <f ca="1"/>
        <v>5.8963592978762289E-2</v>
      </c>
      <c r="G68" s="8">
        <f ca="1"/>
        <v>-6.5350463096458533E-4</v>
      </c>
      <c r="H68" s="11">
        <f ca="1"/>
        <v>99.438471547352549</v>
      </c>
      <c r="I68" s="8">
        <f ca="1"/>
        <v>-0.99993310241148037</v>
      </c>
      <c r="J68" s="8">
        <f ca="1"/>
        <v>9.2177666541737722</v>
      </c>
      <c r="K68">
        <f ca="1"/>
        <v>0</v>
      </c>
      <c r="L68">
        <f ca="1"/>
        <v>9.7732591554387369</v>
      </c>
    </row>
    <row r="69" spans="2:12" x14ac:dyDescent="0.55000000000000004">
      <c r="B69">
        <v>0.23600000000000002</v>
      </c>
      <c r="C69">
        <f ca="1"/>
        <v>-0.43895432168021919</v>
      </c>
      <c r="D69">
        <f ca="1"/>
        <v>1</v>
      </c>
      <c r="E69" s="12">
        <f ca="1"/>
        <v>91.16393065548823</v>
      </c>
      <c r="F69" s="11">
        <f ca="1"/>
        <v>1.6678650939920753E-3</v>
      </c>
      <c r="G69" s="8">
        <f ca="1"/>
        <v>-1.8295230163944964E-5</v>
      </c>
      <c r="H69" s="11">
        <f ca="1"/>
        <v>99.440139412446541</v>
      </c>
      <c r="I69" s="8">
        <f ca="1"/>
        <v>-0.99995139764164431</v>
      </c>
      <c r="J69" s="8">
        <f ca="1"/>
        <v>8.2806395389851417</v>
      </c>
      <c r="K69">
        <f ca="1"/>
        <v>0</v>
      </c>
      <c r="L69">
        <f ca="1"/>
        <v>8.8360693445117704</v>
      </c>
    </row>
    <row r="70" spans="2:12" x14ac:dyDescent="0.55000000000000004">
      <c r="B70">
        <v>0.24</v>
      </c>
      <c r="C70">
        <f ca="1"/>
        <v>-0.4374470538728088</v>
      </c>
      <c r="D70">
        <f ca="1"/>
        <v>1</v>
      </c>
      <c r="E70" s="12">
        <f ca="1"/>
        <v>91.184121468191762</v>
      </c>
      <c r="F70" s="11">
        <f ca="1"/>
        <v>4.2432326316572426E-3</v>
      </c>
      <c r="G70" s="8">
        <f ca="1"/>
        <v>-4.6534775609341494E-5</v>
      </c>
      <c r="H70" s="11">
        <f ca="1"/>
        <v>99.444382645078193</v>
      </c>
      <c r="I70" s="8">
        <f ca="1"/>
        <v>-0.99999793241725365</v>
      </c>
      <c r="J70" s="8">
        <f ca="1"/>
        <v>8.2604497076027172</v>
      </c>
      <c r="K70">
        <f ca="1"/>
        <v>0</v>
      </c>
      <c r="L70">
        <f ca="1"/>
        <v>8.815878531808238</v>
      </c>
    </row>
    <row r="71" spans="2:12" x14ac:dyDescent="0.55000000000000004">
      <c r="B71">
        <v>0.24399999999999999</v>
      </c>
      <c r="C71">
        <f ca="1"/>
        <v>-0.42040478461385189</v>
      </c>
      <c r="D71">
        <f ca="1"/>
        <v>1</v>
      </c>
      <c r="E71" s="12">
        <f ca="1"/>
        <v>91.48812926581212</v>
      </c>
      <c r="F71" s="11">
        <f ca="1"/>
        <v>1.8871231842413887E-4</v>
      </c>
      <c r="G71" s="8">
        <f ca="1"/>
        <v>-2.0626973131765425E-6</v>
      </c>
      <c r="H71" s="11">
        <f ca="1"/>
        <v>99.444571357396612</v>
      </c>
      <c r="I71" s="8">
        <f ca="1"/>
        <v>-0.99999999511456683</v>
      </c>
      <c r="J71" s="8">
        <f ca="1"/>
        <v>7.9564425385436266</v>
      </c>
      <c r="K71">
        <f ca="1"/>
        <v>0</v>
      </c>
      <c r="L71">
        <f ca="1"/>
        <v>8.5118707341878803</v>
      </c>
    </row>
    <row r="72" spans="2:12" x14ac:dyDescent="0.55000000000000004">
      <c r="B72">
        <v>0.248</v>
      </c>
      <c r="C72">
        <f ca="1"/>
        <v>-0.41508054815429979</v>
      </c>
      <c r="D72">
        <f ca="1"/>
        <v>1</v>
      </c>
      <c r="E72" s="12">
        <f ca="1"/>
        <v>91.578275485005179</v>
      </c>
      <c r="F72" s="11">
        <f ca="1"/>
        <v>-99.444571357396612</v>
      </c>
      <c r="G72" s="8">
        <f ca="1"/>
        <v>0.99999999511456683</v>
      </c>
      <c r="H72" s="11">
        <f ca="1"/>
        <v>0</v>
      </c>
      <c r="I72" s="8">
        <f ca="1"/>
        <v>0</v>
      </c>
      <c r="J72" s="8">
        <f ca="1"/>
        <v>0</v>
      </c>
      <c r="K72">
        <f ca="1"/>
        <v>7.8662963197909761</v>
      </c>
      <c r="L72">
        <f ca="1"/>
        <v>8.4217245149948212</v>
      </c>
    </row>
    <row r="73" spans="2:12" x14ac:dyDescent="0.55000000000000004">
      <c r="E73" s="12"/>
      <c r="F73" s="11"/>
      <c r="G73" s="8"/>
      <c r="H73" s="11"/>
      <c r="I73" s="8"/>
      <c r="J73" s="8"/>
    </row>
    <row r="74" spans="2:12" x14ac:dyDescent="0.55000000000000004">
      <c r="E74" s="12"/>
      <c r="F74" s="11"/>
      <c r="G74" s="8"/>
      <c r="H74" s="11"/>
      <c r="I74" s="8"/>
      <c r="J74" s="8"/>
    </row>
    <row r="75" spans="2:12" x14ac:dyDescent="0.55000000000000004">
      <c r="E75" s="12"/>
      <c r="F75" s="11"/>
      <c r="G75" s="8"/>
      <c r="H75" s="11"/>
      <c r="I75" s="8"/>
      <c r="J75" s="8"/>
    </row>
    <row r="76" spans="2:12" x14ac:dyDescent="0.55000000000000004">
      <c r="E76" s="12"/>
      <c r="F76" s="11"/>
      <c r="G76" s="8"/>
      <c r="H76" s="11"/>
      <c r="I76" s="8"/>
      <c r="J76" s="8"/>
    </row>
    <row r="77" spans="2:12" x14ac:dyDescent="0.55000000000000004">
      <c r="E77" s="12"/>
      <c r="F77" s="11"/>
      <c r="G77" s="8"/>
      <c r="H77" s="11"/>
      <c r="I77" s="8"/>
      <c r="J77" s="8"/>
    </row>
    <row r="78" spans="2:12" x14ac:dyDescent="0.55000000000000004">
      <c r="E78" s="12"/>
      <c r="F78" s="11"/>
      <c r="G78" s="8"/>
      <c r="H78" s="11"/>
      <c r="I78" s="8"/>
      <c r="J78" s="8"/>
    </row>
    <row r="79" spans="2:12" x14ac:dyDescent="0.55000000000000004">
      <c r="E79" s="12"/>
      <c r="F79" s="11"/>
      <c r="G79" s="8"/>
      <c r="H79" s="11"/>
      <c r="I79" s="8"/>
      <c r="J79" s="8"/>
    </row>
    <row r="80" spans="2:12" x14ac:dyDescent="0.55000000000000004">
      <c r="E80" s="12"/>
      <c r="F80" s="11"/>
      <c r="G80" s="8"/>
      <c r="H80" s="11"/>
      <c r="I80" s="8"/>
      <c r="J80" s="8"/>
    </row>
    <row r="81" spans="5:10" x14ac:dyDescent="0.55000000000000004">
      <c r="E81" s="12"/>
      <c r="F81" s="11"/>
      <c r="G81" s="8"/>
      <c r="H81" s="11"/>
      <c r="I81" s="8"/>
      <c r="J81" s="8"/>
    </row>
    <row r="82" spans="5:10" x14ac:dyDescent="0.55000000000000004">
      <c r="E82" s="12"/>
      <c r="F82" s="11"/>
      <c r="G82" s="8"/>
      <c r="H82" s="11"/>
      <c r="I82" s="8"/>
      <c r="J82" s="8"/>
    </row>
    <row r="83" spans="5:10" x14ac:dyDescent="0.55000000000000004">
      <c r="E83" s="12"/>
      <c r="F83" s="11"/>
      <c r="G83" s="8"/>
      <c r="H83" s="11"/>
      <c r="I83" s="8"/>
      <c r="J83" s="8"/>
    </row>
    <row r="84" spans="5:10" x14ac:dyDescent="0.55000000000000004">
      <c r="E84" s="12"/>
      <c r="F84" s="11"/>
      <c r="G84" s="8"/>
      <c r="H84" s="11"/>
      <c r="I84" s="8"/>
      <c r="J84" s="8"/>
    </row>
    <row r="85" spans="5:10" x14ac:dyDescent="0.55000000000000004">
      <c r="E85" s="12"/>
      <c r="F85" s="11"/>
      <c r="G85" s="8"/>
      <c r="H85" s="11"/>
      <c r="I85" s="8"/>
      <c r="J85" s="8"/>
    </row>
    <row r="86" spans="5:10" x14ac:dyDescent="0.55000000000000004">
      <c r="E86" s="12"/>
      <c r="F86" s="11"/>
      <c r="G86" s="8"/>
      <c r="H86" s="11"/>
      <c r="I86" s="8"/>
      <c r="J86" s="8"/>
    </row>
    <row r="87" spans="5:10" x14ac:dyDescent="0.55000000000000004">
      <c r="E87" s="12"/>
      <c r="F87" s="11"/>
      <c r="G87" s="8"/>
      <c r="H87" s="11"/>
      <c r="I87" s="8"/>
      <c r="J87" s="8"/>
    </row>
    <row r="88" spans="5:10" x14ac:dyDescent="0.55000000000000004">
      <c r="E88" s="12"/>
      <c r="F88" s="11"/>
      <c r="G88" s="8"/>
      <c r="H88" s="11"/>
      <c r="I88" s="8"/>
      <c r="J88" s="8"/>
    </row>
    <row r="89" spans="5:10" x14ac:dyDescent="0.55000000000000004">
      <c r="E89" s="12"/>
      <c r="F89" s="11"/>
      <c r="G89" s="8"/>
      <c r="H89" s="11"/>
      <c r="I89" s="8"/>
      <c r="J89" s="8"/>
    </row>
    <row r="90" spans="5:10" x14ac:dyDescent="0.55000000000000004">
      <c r="E90" s="12"/>
      <c r="F90" s="11"/>
      <c r="G90" s="8"/>
      <c r="H90" s="11"/>
      <c r="I90" s="8"/>
      <c r="J90" s="8"/>
    </row>
    <row r="91" spans="5:10" x14ac:dyDescent="0.55000000000000004">
      <c r="E91" s="12"/>
      <c r="F91" s="11"/>
      <c r="G91" s="8"/>
      <c r="H91" s="11"/>
      <c r="I91" s="8"/>
      <c r="J91" s="8"/>
    </row>
    <row r="92" spans="5:10" x14ac:dyDescent="0.55000000000000004">
      <c r="E92" s="12"/>
      <c r="F92" s="11"/>
      <c r="G92" s="8"/>
      <c r="H92" s="11"/>
      <c r="I92" s="8"/>
      <c r="J92" s="8"/>
    </row>
    <row r="93" spans="5:10" x14ac:dyDescent="0.55000000000000004">
      <c r="E93" s="12"/>
      <c r="F93" s="11"/>
      <c r="G93" s="8"/>
      <c r="H93" s="11"/>
      <c r="I93" s="8"/>
      <c r="J93" s="8"/>
    </row>
    <row r="94" spans="5:10" x14ac:dyDescent="0.55000000000000004">
      <c r="E94" s="12"/>
      <c r="F94" s="11"/>
      <c r="G94" s="8"/>
      <c r="H94" s="11"/>
      <c r="I94" s="8"/>
      <c r="J94" s="8"/>
    </row>
    <row r="95" spans="5:10" x14ac:dyDescent="0.55000000000000004">
      <c r="E95" s="12"/>
      <c r="F95" s="11"/>
      <c r="G95" s="8"/>
      <c r="H95" s="11"/>
      <c r="I95" s="8"/>
      <c r="J95" s="8"/>
    </row>
    <row r="96" spans="5:10" x14ac:dyDescent="0.55000000000000004">
      <c r="E96" s="12"/>
      <c r="F96" s="11"/>
      <c r="G96" s="8"/>
      <c r="H96" s="11"/>
      <c r="I96" s="8"/>
      <c r="J96" s="8"/>
    </row>
    <row r="97" spans="5:10" x14ac:dyDescent="0.55000000000000004">
      <c r="E97" s="12"/>
      <c r="F97" s="11"/>
      <c r="G97" s="8"/>
      <c r="H97" s="11"/>
      <c r="I97" s="8"/>
      <c r="J97" s="8"/>
    </row>
    <row r="98" spans="5:10" x14ac:dyDescent="0.55000000000000004">
      <c r="E98" s="12"/>
      <c r="F98" s="11"/>
      <c r="G98" s="8"/>
      <c r="H98" s="11"/>
      <c r="I98" s="8"/>
      <c r="J98" s="8"/>
    </row>
    <row r="99" spans="5:10" x14ac:dyDescent="0.55000000000000004">
      <c r="E99" s="12"/>
      <c r="F99" s="11"/>
      <c r="G99" s="8"/>
      <c r="H99" s="11"/>
      <c r="I99" s="8"/>
    </row>
    <row r="100" spans="5:10" x14ac:dyDescent="0.55000000000000004">
      <c r="E100" s="12"/>
      <c r="F100" s="11"/>
      <c r="G100" s="8"/>
      <c r="H100" s="11"/>
      <c r="I100" s="8"/>
    </row>
    <row r="101" spans="5:10" x14ac:dyDescent="0.55000000000000004">
      <c r="E101" s="12"/>
      <c r="F101" s="11"/>
      <c r="G101" s="8"/>
      <c r="H101" s="11"/>
      <c r="I101" s="8"/>
    </row>
    <row r="102" spans="5:10" x14ac:dyDescent="0.55000000000000004">
      <c r="E102" s="12"/>
      <c r="F102" s="11"/>
      <c r="G102" s="8"/>
      <c r="H102" s="11"/>
      <c r="I102" s="8"/>
    </row>
    <row r="103" spans="5:10" x14ac:dyDescent="0.55000000000000004">
      <c r="E103" s="12"/>
      <c r="F103" s="11"/>
      <c r="G103" s="8"/>
      <c r="H103" s="11"/>
      <c r="I103" s="8"/>
    </row>
    <row r="104" spans="5:10" x14ac:dyDescent="0.55000000000000004">
      <c r="E104" s="12"/>
      <c r="F104" s="11"/>
      <c r="G104" s="8"/>
      <c r="H104" s="11"/>
      <c r="I104" s="8"/>
    </row>
    <row r="105" spans="5:10" x14ac:dyDescent="0.55000000000000004">
      <c r="E105" s="12"/>
      <c r="F105" s="11"/>
      <c r="G105" s="8"/>
      <c r="H105" s="11"/>
      <c r="I105" s="8"/>
    </row>
    <row r="106" spans="5:10" x14ac:dyDescent="0.55000000000000004">
      <c r="E106" s="12"/>
      <c r="F106" s="11"/>
      <c r="G106" s="8"/>
      <c r="H106" s="11"/>
      <c r="I106" s="8"/>
    </row>
    <row r="107" spans="5:10" x14ac:dyDescent="0.55000000000000004">
      <c r="E107" s="12"/>
      <c r="F107" s="11"/>
      <c r="G107" s="8"/>
      <c r="H107" s="11"/>
      <c r="I107" s="8"/>
    </row>
    <row r="108" spans="5:10" x14ac:dyDescent="0.55000000000000004">
      <c r="E108" s="12"/>
      <c r="F108" s="11"/>
      <c r="G108" s="8"/>
      <c r="H108" s="11"/>
      <c r="I108" s="8"/>
    </row>
    <row r="109" spans="5:10" x14ac:dyDescent="0.55000000000000004">
      <c r="E109" s="12"/>
      <c r="F109" s="11"/>
      <c r="G109" s="8"/>
      <c r="H109" s="11"/>
      <c r="I109" s="8"/>
    </row>
    <row r="110" spans="5:10" x14ac:dyDescent="0.55000000000000004">
      <c r="E110" s="12"/>
      <c r="F110" s="11"/>
      <c r="G110" s="8"/>
      <c r="H110" s="11"/>
      <c r="I110" s="8"/>
    </row>
    <row r="111" spans="5:10" x14ac:dyDescent="0.55000000000000004">
      <c r="F111" s="11"/>
      <c r="G111" s="8"/>
      <c r="H111" s="11"/>
      <c r="I111" s="8"/>
    </row>
    <row r="112" spans="5:10" x14ac:dyDescent="0.55000000000000004">
      <c r="F112" s="11"/>
      <c r="G112" s="8"/>
      <c r="H112" s="11"/>
      <c r="I112" s="8"/>
    </row>
    <row r="113" spans="6:9" x14ac:dyDescent="0.55000000000000004">
      <c r="F113" s="11"/>
      <c r="G113" s="8"/>
      <c r="H113" s="11"/>
      <c r="I113" s="8"/>
    </row>
    <row r="114" spans="6:9" x14ac:dyDescent="0.55000000000000004">
      <c r="F114" s="11"/>
      <c r="G114" s="8"/>
      <c r="H114" s="11"/>
      <c r="I114" s="8"/>
    </row>
    <row r="115" spans="6:9" x14ac:dyDescent="0.55000000000000004">
      <c r="F115" s="11"/>
      <c r="G115" s="8"/>
      <c r="H115" s="11"/>
      <c r="I115" s="8"/>
    </row>
    <row r="116" spans="6:9" x14ac:dyDescent="0.55000000000000004">
      <c r="F116" s="11"/>
      <c r="G116" s="8"/>
      <c r="H116" s="11"/>
      <c r="I116" s="8"/>
    </row>
    <row r="117" spans="6:9" x14ac:dyDescent="0.55000000000000004">
      <c r="F117" s="11"/>
      <c r="G117" s="8"/>
      <c r="H117" s="11"/>
      <c r="I117" s="8"/>
    </row>
    <row r="118" spans="6:9" x14ac:dyDescent="0.55000000000000004">
      <c r="F118" s="11"/>
      <c r="G118" s="8"/>
      <c r="H118" s="11"/>
      <c r="I118" s="8"/>
    </row>
    <row r="119" spans="6:9" x14ac:dyDescent="0.55000000000000004">
      <c r="F119" s="11"/>
      <c r="G119" s="8"/>
      <c r="H119" s="11"/>
      <c r="I119" s="8"/>
    </row>
    <row r="120" spans="6:9" x14ac:dyDescent="0.55000000000000004">
      <c r="F120" s="11"/>
      <c r="G120" s="8"/>
      <c r="H120" s="11"/>
      <c r="I120" s="8"/>
    </row>
    <row r="121" spans="6:9" x14ac:dyDescent="0.55000000000000004">
      <c r="F121" s="11"/>
      <c r="G121" s="8"/>
      <c r="H121" s="11"/>
      <c r="I121" s="8"/>
    </row>
    <row r="122" spans="6:9" x14ac:dyDescent="0.55000000000000004">
      <c r="F122" s="11"/>
      <c r="G122" s="8"/>
      <c r="H122" s="11"/>
      <c r="I122" s="8"/>
    </row>
    <row r="123" spans="6:9" x14ac:dyDescent="0.55000000000000004">
      <c r="F123" s="11"/>
      <c r="G123" s="8"/>
      <c r="H123" s="11"/>
      <c r="I123" s="8"/>
    </row>
    <row r="124" spans="6:9" x14ac:dyDescent="0.55000000000000004">
      <c r="F124" s="11"/>
      <c r="G124" s="8"/>
      <c r="H124" s="11"/>
      <c r="I124" s="8"/>
    </row>
    <row r="125" spans="6:9" x14ac:dyDescent="0.55000000000000004">
      <c r="F125" s="11"/>
      <c r="G125" s="8"/>
      <c r="H125" s="11"/>
      <c r="I125" s="8"/>
    </row>
    <row r="126" spans="6:9" x14ac:dyDescent="0.55000000000000004">
      <c r="F126" s="11"/>
      <c r="G126" s="8"/>
      <c r="H126" s="11"/>
      <c r="I126" s="8"/>
    </row>
    <row r="127" spans="6:9" x14ac:dyDescent="0.55000000000000004">
      <c r="F127" s="11"/>
      <c r="G127" s="8"/>
      <c r="H127" s="11"/>
      <c r="I127" s="8"/>
    </row>
    <row r="128" spans="6:9" x14ac:dyDescent="0.55000000000000004">
      <c r="F128" s="11"/>
      <c r="G128" s="8"/>
      <c r="H128" s="11"/>
      <c r="I128" s="8"/>
    </row>
    <row r="129" spans="6:9" x14ac:dyDescent="0.55000000000000004">
      <c r="F129" s="11"/>
      <c r="G129" s="8"/>
      <c r="H129" s="11"/>
      <c r="I129" s="8"/>
    </row>
    <row r="130" spans="6:9" x14ac:dyDescent="0.55000000000000004">
      <c r="F130" s="11"/>
      <c r="G130" s="8"/>
      <c r="H130" s="11"/>
      <c r="I130" s="8"/>
    </row>
    <row r="131" spans="6:9" x14ac:dyDescent="0.55000000000000004">
      <c r="F131" s="11"/>
      <c r="G131" s="8"/>
      <c r="H131" s="11"/>
      <c r="I131" s="8"/>
    </row>
    <row r="132" spans="6:9" x14ac:dyDescent="0.55000000000000004">
      <c r="F132" s="11"/>
      <c r="G132" s="8"/>
      <c r="H132" s="11"/>
      <c r="I132" s="8"/>
    </row>
    <row r="133" spans="6:9" x14ac:dyDescent="0.55000000000000004">
      <c r="F133" s="11"/>
      <c r="G133" s="8"/>
      <c r="H133" s="11"/>
      <c r="I133" s="8"/>
    </row>
    <row r="134" spans="6:9" x14ac:dyDescent="0.55000000000000004">
      <c r="F134" s="11"/>
      <c r="G134" s="8"/>
      <c r="H134" s="11"/>
      <c r="I134" s="8"/>
    </row>
    <row r="135" spans="6:9" x14ac:dyDescent="0.55000000000000004">
      <c r="F135" s="11"/>
      <c r="G135" s="8"/>
      <c r="H135" s="11"/>
      <c r="I135" s="8"/>
    </row>
    <row r="136" spans="6:9" x14ac:dyDescent="0.55000000000000004">
      <c r="F136" s="11"/>
      <c r="G136" s="8"/>
      <c r="H136" s="11"/>
      <c r="I136" s="8"/>
    </row>
    <row r="137" spans="6:9" x14ac:dyDescent="0.55000000000000004">
      <c r="F137" s="11"/>
      <c r="G137" s="8"/>
      <c r="H137" s="11"/>
      <c r="I137" s="8"/>
    </row>
    <row r="138" spans="6:9" x14ac:dyDescent="0.55000000000000004">
      <c r="F138" s="11"/>
      <c r="G138" s="8"/>
      <c r="H138" s="11"/>
      <c r="I138" s="8"/>
    </row>
    <row r="139" spans="6:9" x14ac:dyDescent="0.55000000000000004">
      <c r="F139" s="11"/>
      <c r="G139" s="8"/>
      <c r="H139" s="11"/>
      <c r="I139" s="8"/>
    </row>
    <row r="140" spans="6:9" x14ac:dyDescent="0.55000000000000004">
      <c r="F140" s="11"/>
      <c r="G140" s="8"/>
      <c r="H140" s="11"/>
      <c r="I140" s="8"/>
    </row>
    <row r="141" spans="6:9" x14ac:dyDescent="0.55000000000000004">
      <c r="F141" s="11"/>
      <c r="G141" s="8"/>
      <c r="H141" s="11"/>
      <c r="I141" s="8"/>
    </row>
    <row r="142" spans="6:9" x14ac:dyDescent="0.55000000000000004">
      <c r="F142" s="11"/>
      <c r="G142" s="8"/>
      <c r="H142" s="11"/>
      <c r="I142" s="8"/>
    </row>
    <row r="143" spans="6:9" x14ac:dyDescent="0.55000000000000004">
      <c r="F143" s="11"/>
      <c r="G143" s="8"/>
      <c r="I143" s="8"/>
    </row>
    <row r="144" spans="6:9" x14ac:dyDescent="0.55000000000000004">
      <c r="F144" s="11"/>
      <c r="G144" s="8"/>
      <c r="I144" s="8"/>
    </row>
    <row r="145" spans="6:9" x14ac:dyDescent="0.55000000000000004">
      <c r="F145" s="11"/>
      <c r="G145" s="8"/>
      <c r="I145" s="8"/>
    </row>
    <row r="146" spans="6:9" x14ac:dyDescent="0.55000000000000004">
      <c r="F146" s="11"/>
      <c r="G146" s="8"/>
      <c r="I146" s="8"/>
    </row>
    <row r="147" spans="6:9" x14ac:dyDescent="0.55000000000000004">
      <c r="F147" s="11"/>
      <c r="G147" s="8"/>
      <c r="I147" s="8"/>
    </row>
    <row r="148" spans="6:9" x14ac:dyDescent="0.55000000000000004">
      <c r="F148" s="11"/>
      <c r="G148" s="8"/>
      <c r="I148" s="8"/>
    </row>
    <row r="149" spans="6:9" x14ac:dyDescent="0.55000000000000004">
      <c r="F149" s="11"/>
      <c r="G149" s="8"/>
      <c r="I149" s="8"/>
    </row>
    <row r="150" spans="6:9" x14ac:dyDescent="0.55000000000000004">
      <c r="F150" s="11"/>
      <c r="G150" s="8"/>
      <c r="I150" s="8"/>
    </row>
    <row r="151" spans="6:9" x14ac:dyDescent="0.55000000000000004">
      <c r="F151" s="11"/>
      <c r="G151" s="8"/>
      <c r="I151" s="8"/>
    </row>
    <row r="152" spans="6:9" x14ac:dyDescent="0.55000000000000004">
      <c r="F152" s="11"/>
      <c r="G152" s="8"/>
      <c r="I152" s="8"/>
    </row>
    <row r="153" spans="6:9" x14ac:dyDescent="0.55000000000000004">
      <c r="F153" s="11"/>
      <c r="G153" s="8"/>
      <c r="I153" s="8"/>
    </row>
    <row r="154" spans="6:9" x14ac:dyDescent="0.55000000000000004">
      <c r="F154" s="11"/>
      <c r="G154" s="8"/>
      <c r="I154" s="8"/>
    </row>
    <row r="155" spans="6:9" x14ac:dyDescent="0.55000000000000004">
      <c r="F155" s="11"/>
      <c r="G155" s="8"/>
      <c r="I155" s="8"/>
    </row>
    <row r="156" spans="6:9" x14ac:dyDescent="0.55000000000000004">
      <c r="F156" s="11"/>
      <c r="G156" s="8"/>
      <c r="I156" s="8"/>
    </row>
    <row r="157" spans="6:9" x14ac:dyDescent="0.55000000000000004">
      <c r="F157" s="11"/>
      <c r="G157" s="8"/>
      <c r="I157" s="8"/>
    </row>
    <row r="158" spans="6:9" x14ac:dyDescent="0.55000000000000004">
      <c r="F158" s="11"/>
      <c r="G158" s="8"/>
      <c r="I158" s="8"/>
    </row>
    <row r="159" spans="6:9" x14ac:dyDescent="0.55000000000000004">
      <c r="F159" s="11"/>
      <c r="G159" s="8"/>
      <c r="I159" s="8"/>
    </row>
    <row r="160" spans="6:9" x14ac:dyDescent="0.55000000000000004">
      <c r="F160" s="11"/>
      <c r="G160" s="8"/>
      <c r="I160" s="8"/>
    </row>
    <row r="161" spans="6:9" x14ac:dyDescent="0.55000000000000004">
      <c r="F161" s="11"/>
      <c r="G161" s="8"/>
      <c r="I161" s="8"/>
    </row>
    <row r="162" spans="6:9" x14ac:dyDescent="0.55000000000000004">
      <c r="F162" s="11"/>
      <c r="G162" s="8"/>
      <c r="I162" s="8"/>
    </row>
    <row r="163" spans="6:9" x14ac:dyDescent="0.55000000000000004">
      <c r="F163" s="11"/>
      <c r="G163" s="8"/>
      <c r="I163" s="8"/>
    </row>
    <row r="164" spans="6:9" x14ac:dyDescent="0.55000000000000004">
      <c r="F164" s="11"/>
      <c r="G164" s="8"/>
      <c r="I164" s="8"/>
    </row>
    <row r="165" spans="6:9" x14ac:dyDescent="0.55000000000000004">
      <c r="F165" s="11"/>
      <c r="G165" s="8"/>
    </row>
    <row r="166" spans="6:9" x14ac:dyDescent="0.55000000000000004">
      <c r="F166" s="11"/>
      <c r="G166" s="8"/>
    </row>
    <row r="167" spans="6:9" x14ac:dyDescent="0.55000000000000004">
      <c r="F167" s="11"/>
      <c r="G167" s="8"/>
    </row>
    <row r="168" spans="6:9" x14ac:dyDescent="0.55000000000000004">
      <c r="F168" s="11"/>
      <c r="G168" s="8"/>
    </row>
    <row r="169" spans="6:9" x14ac:dyDescent="0.55000000000000004">
      <c r="F169" s="11"/>
      <c r="G169" s="8"/>
    </row>
    <row r="170" spans="6:9" x14ac:dyDescent="0.55000000000000004">
      <c r="F170" s="11"/>
      <c r="G170" s="8"/>
    </row>
    <row r="171" spans="6:9" x14ac:dyDescent="0.55000000000000004">
      <c r="F171" s="11"/>
      <c r="G171" s="8"/>
    </row>
    <row r="172" spans="6:9" x14ac:dyDescent="0.55000000000000004">
      <c r="F172" s="11"/>
      <c r="G172" s="8"/>
    </row>
    <row r="173" spans="6:9" x14ac:dyDescent="0.55000000000000004">
      <c r="F173" s="11"/>
      <c r="G173" s="8"/>
    </row>
    <row r="174" spans="6:9" x14ac:dyDescent="0.55000000000000004">
      <c r="F174" s="11"/>
      <c r="G174" s="8"/>
    </row>
    <row r="175" spans="6:9" x14ac:dyDescent="0.55000000000000004">
      <c r="F175" s="11"/>
      <c r="G175" s="8"/>
    </row>
    <row r="176" spans="6:9" x14ac:dyDescent="0.55000000000000004">
      <c r="F176" s="11"/>
      <c r="G176" s="8"/>
    </row>
    <row r="177" spans="6:7" x14ac:dyDescent="0.55000000000000004">
      <c r="F177" s="11"/>
      <c r="G177" s="8"/>
    </row>
    <row r="178" spans="6:7" x14ac:dyDescent="0.55000000000000004">
      <c r="F178" s="11"/>
      <c r="G178" s="8"/>
    </row>
    <row r="179" spans="6:7" x14ac:dyDescent="0.55000000000000004">
      <c r="F179" s="11"/>
      <c r="G179" s="8"/>
    </row>
    <row r="180" spans="6:7" x14ac:dyDescent="0.55000000000000004">
      <c r="F180" s="11"/>
      <c r="G180" s="8"/>
    </row>
    <row r="181" spans="6:7" x14ac:dyDescent="0.55000000000000004">
      <c r="F181" s="11"/>
      <c r="G181" s="8"/>
    </row>
    <row r="182" spans="6:7" x14ac:dyDescent="0.55000000000000004">
      <c r="F182" s="11"/>
      <c r="G182" s="8"/>
    </row>
    <row r="183" spans="6:7" x14ac:dyDescent="0.55000000000000004">
      <c r="F183" s="11"/>
      <c r="G183" s="8"/>
    </row>
    <row r="184" spans="6:7" x14ac:dyDescent="0.55000000000000004">
      <c r="F184" s="11"/>
      <c r="G184" s="8"/>
    </row>
    <row r="185" spans="6:7" x14ac:dyDescent="0.55000000000000004">
      <c r="F185" s="11"/>
      <c r="G185" s="8"/>
    </row>
    <row r="186" spans="6:7" x14ac:dyDescent="0.55000000000000004">
      <c r="F186" s="11"/>
      <c r="G186" s="8"/>
    </row>
    <row r="187" spans="6:7" x14ac:dyDescent="0.55000000000000004">
      <c r="G187" s="8"/>
    </row>
    <row r="188" spans="6:7" x14ac:dyDescent="0.55000000000000004">
      <c r="G188" s="8"/>
    </row>
    <row r="189" spans="6:7" x14ac:dyDescent="0.55000000000000004">
      <c r="G189" s="8"/>
    </row>
    <row r="190" spans="6:7" x14ac:dyDescent="0.55000000000000004">
      <c r="G190" s="8"/>
    </row>
    <row r="191" spans="6:7" x14ac:dyDescent="0.55000000000000004">
      <c r="G191" s="8"/>
    </row>
    <row r="192" spans="6:7" x14ac:dyDescent="0.55000000000000004">
      <c r="G192" s="8"/>
    </row>
    <row r="193" spans="7:7" x14ac:dyDescent="0.55000000000000004">
      <c r="G193" s="8"/>
    </row>
    <row r="194" spans="7:7" x14ac:dyDescent="0.55000000000000004">
      <c r="G194" s="8"/>
    </row>
    <row r="195" spans="7:7" x14ac:dyDescent="0.55000000000000004">
      <c r="G195" s="8"/>
    </row>
    <row r="196" spans="7:7" x14ac:dyDescent="0.55000000000000004">
      <c r="G196" s="8"/>
    </row>
    <row r="197" spans="7:7" x14ac:dyDescent="0.55000000000000004">
      <c r="G197" s="8"/>
    </row>
    <row r="198" spans="7:7" x14ac:dyDescent="0.55000000000000004">
      <c r="G198" s="8"/>
    </row>
    <row r="199" spans="7:7" x14ac:dyDescent="0.55000000000000004">
      <c r="G199" s="8"/>
    </row>
    <row r="200" spans="7:7" x14ac:dyDescent="0.55000000000000004">
      <c r="G200" s="8"/>
    </row>
    <row r="201" spans="7:7" x14ac:dyDescent="0.55000000000000004">
      <c r="G201" s="8"/>
    </row>
    <row r="202" spans="7:7" x14ac:dyDescent="0.55000000000000004">
      <c r="G202" s="8"/>
    </row>
    <row r="203" spans="7:7" x14ac:dyDescent="0.55000000000000004">
      <c r="G203" s="8"/>
    </row>
    <row r="204" spans="7:7" x14ac:dyDescent="0.55000000000000004">
      <c r="G204" s="8"/>
    </row>
    <row r="205" spans="7:7" x14ac:dyDescent="0.55000000000000004">
      <c r="G205" s="8"/>
    </row>
    <row r="206" spans="7:7" x14ac:dyDescent="0.55000000000000004">
      <c r="G206" s="8"/>
    </row>
    <row r="207" spans="7:7" x14ac:dyDescent="0.55000000000000004">
      <c r="G207" s="8"/>
    </row>
    <row r="208" spans="7:7" x14ac:dyDescent="0.55000000000000004">
      <c r="G208" s="8"/>
    </row>
  </sheetData>
  <mergeCells count="3">
    <mergeCell ref="D8:E8"/>
    <mergeCell ref="F8:G8"/>
    <mergeCell ref="H8:I8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BB71-B012-4977-9B33-837498FF0B6A}">
  <dimension ref="B1:P208"/>
  <sheetViews>
    <sheetView workbookViewId="0">
      <selection activeCell="I6" sqref="I6"/>
    </sheetView>
  </sheetViews>
  <sheetFormatPr defaultRowHeight="18" x14ac:dyDescent="0.55000000000000004"/>
  <cols>
    <col min="1" max="1" width="3.578125" customWidth="1"/>
    <col min="2" max="2" width="9.89453125" bestFit="1" customWidth="1"/>
    <col min="7" max="7" width="11.68359375" bestFit="1" customWidth="1"/>
    <col min="10" max="10" width="10.20703125" bestFit="1" customWidth="1"/>
    <col min="13" max="13" width="11.68359375" bestFit="1" customWidth="1"/>
  </cols>
  <sheetData>
    <row r="1" spans="2:16" x14ac:dyDescent="0.55000000000000004">
      <c r="B1" s="18" cm="1">
        <f t="array" aca="1" ref="B1" ca="1">_xll.MONTE.COUNT()</f>
        <v>17749</v>
      </c>
    </row>
    <row r="2" spans="2:16" x14ac:dyDescent="0.55000000000000004">
      <c r="B2" s="4" t="s">
        <v>15</v>
      </c>
      <c r="C2">
        <v>0</v>
      </c>
      <c r="F2" s="4" t="s">
        <v>20</v>
      </c>
      <c r="G2" s="8" cm="1">
        <f t="array" ref="G2">_xll.OPTION.BLACK.PUT(f, sigma*SQRT(t), k)</f>
        <v>3.987761167674492</v>
      </c>
      <c r="I2" s="9" cm="1">
        <f t="array" ref="I2">_xll.OPTION.BLACK.PUT_DELTA(f, sigma*SQRT(t), k)</f>
        <v>-0.48006119416162751</v>
      </c>
      <c r="J2" s="9" cm="1">
        <f t="array" ref="J2">_xll.OPTION.BLACK.PUT(f+0.01, sigma*SQRT(t), k)</f>
        <v>3.9829625478526722</v>
      </c>
      <c r="K2" s="9" cm="1">
        <f t="array" ref="K2">_xll.OPTION.BLACK.PUT(f-0.01, sigma*SQRT(t), k)</f>
        <v>3.9925637719351386</v>
      </c>
      <c r="L2" s="9">
        <f>(J2-K2)/0.02</f>
        <v>-0.48006120412331654</v>
      </c>
      <c r="M2" s="10">
        <f>I2-L2</f>
        <v>9.9616890292253402E-9</v>
      </c>
    </row>
    <row r="3" spans="2:16" x14ac:dyDescent="0.55000000000000004">
      <c r="B3" s="4" t="s">
        <v>16</v>
      </c>
      <c r="C3">
        <v>100</v>
      </c>
      <c r="F3" s="4" t="s">
        <v>28</v>
      </c>
      <c r="G3" s="8" cm="1">
        <f t="array" aca="1" ref="G3" ca="1">_xlfn.TAKE(S_,-1)</f>
        <v>101.48219873345587</v>
      </c>
      <c r="N3" s="7">
        <v>1</v>
      </c>
      <c r="O3" s="7" cm="1">
        <f t="array" ref="O3:O5">ad(N3:N5)</f>
        <v>1</v>
      </c>
      <c r="P3" s="7" cm="1">
        <f t="array" ref="P3:P5">_xlfn.SCAN(0,_xlfn.ANCHORARRAY(O3),_xlfn.LAMBDA(_xlpm.a,_xlpm.b,_xlpm.a+_xlpm.b))</f>
        <v>1</v>
      </c>
    </row>
    <row r="4" spans="2:16" x14ac:dyDescent="0.55000000000000004">
      <c r="B4" s="4" t="s">
        <v>14</v>
      </c>
      <c r="C4">
        <v>0.2</v>
      </c>
      <c r="F4" s="4" t="s">
        <v>24</v>
      </c>
      <c r="G4" s="11">
        <f ca="1">MAX(k - last,0)</f>
        <v>0</v>
      </c>
      <c r="H4" s="11">
        <f t="array" aca="1" ref="H4:I4" ca="1">_xll.MONTE.STDEV(G4)</f>
        <v>3.9366394375921883</v>
      </c>
      <c r="I4" s="11">
        <f ca="1"/>
        <v>5.465712572665498</v>
      </c>
      <c r="M4">
        <v>1E-3</v>
      </c>
      <c r="N4" s="7">
        <v>2</v>
      </c>
      <c r="O4" s="7">
        <v>1</v>
      </c>
      <c r="P4" s="7">
        <v>2</v>
      </c>
    </row>
    <row r="5" spans="2:16" x14ac:dyDescent="0.55000000000000004">
      <c r="B5" s="4" t="s">
        <v>1</v>
      </c>
      <c r="C5">
        <v>0.25</v>
      </c>
      <c r="F5" s="4" t="s">
        <v>25</v>
      </c>
      <c r="G5" s="11" cm="1">
        <f t="array" aca="1" ref="G5" ca="1">_xlfn.TAKE(A,-1)</f>
        <v>8.6508240375046483</v>
      </c>
      <c r="H5" s="11"/>
      <c r="I5" s="11"/>
      <c r="M5">
        <v>0.01</v>
      </c>
      <c r="N5" s="7">
        <v>3</v>
      </c>
      <c r="O5" s="7">
        <v>1</v>
      </c>
      <c r="P5" s="7">
        <v>3</v>
      </c>
    </row>
    <row r="6" spans="2:16" x14ac:dyDescent="0.55000000000000004">
      <c r="B6" s="4" t="s">
        <v>21</v>
      </c>
      <c r="C6">
        <f>1/250</f>
        <v>4.0000000000000001E-3</v>
      </c>
      <c r="F6" s="4" t="s">
        <v>29</v>
      </c>
      <c r="G6" s="11">
        <f ca="1">payoff-hedge</f>
        <v>-8.6508240375046483</v>
      </c>
      <c r="H6" s="8">
        <f t="array" aca="1" ref="H6:I6" ca="1">_xll.MONTE.STDEV(error)</f>
        <v>-9.3383454035984567E-2</v>
      </c>
      <c r="I6" s="13">
        <f ca="1"/>
        <v>11.967738579190495</v>
      </c>
      <c r="J6" s="17">
        <f ca="1">I6/put</f>
        <v>3.0011171873087918</v>
      </c>
      <c r="K6" s="16" t="s">
        <v>30</v>
      </c>
      <c r="M6">
        <v>0.1</v>
      </c>
    </row>
    <row r="7" spans="2:16" x14ac:dyDescent="0.55000000000000004">
      <c r="B7" s="4" t="s">
        <v>17</v>
      </c>
      <c r="C7">
        <v>100</v>
      </c>
    </row>
    <row r="8" spans="2:16" x14ac:dyDescent="0.55000000000000004">
      <c r="D8" s="26" t="s">
        <v>0</v>
      </c>
      <c r="E8" s="26"/>
      <c r="F8" s="27" t="s">
        <v>10</v>
      </c>
      <c r="G8" s="27"/>
      <c r="H8" s="27" t="s">
        <v>13</v>
      </c>
      <c r="I8" s="27"/>
      <c r="J8" s="14" t="s">
        <v>11</v>
      </c>
      <c r="K8" s="3" t="s">
        <v>12</v>
      </c>
    </row>
    <row r="9" spans="2:16" x14ac:dyDescent="0.55000000000000004">
      <c r="B9" s="15" t="s">
        <v>22</v>
      </c>
      <c r="C9" s="15" t="s">
        <v>23</v>
      </c>
      <c r="D9" s="15" t="s">
        <v>18</v>
      </c>
      <c r="E9" s="15" t="s">
        <v>19</v>
      </c>
      <c r="F9" s="15" t="s">
        <v>4</v>
      </c>
      <c r="G9" s="15" t="s">
        <v>5</v>
      </c>
      <c r="H9" s="15" t="s">
        <v>26</v>
      </c>
      <c r="I9" s="15" t="s">
        <v>27</v>
      </c>
      <c r="J9" s="15" t="s">
        <v>8</v>
      </c>
      <c r="K9" s="15" t="s">
        <v>9</v>
      </c>
      <c r="L9" s="19" t="s">
        <v>31</v>
      </c>
    </row>
    <row r="10" spans="2:16" x14ac:dyDescent="0.55000000000000004">
      <c r="B10" cm="1">
        <f t="array" ref="B10:B72">_xll.ARRAY.SEQUENCE(0, t, dt)</f>
        <v>0</v>
      </c>
      <c r="C10" cm="1">
        <f t="array" aca="1" ref="C10:C72" ca="1">_xll.RANDOM.BROWNIAN(t_)</f>
        <v>0</v>
      </c>
      <c r="D10" cm="1">
        <f t="array" aca="1" ref="D10:D72" ca="1">1+0*B_</f>
        <v>1</v>
      </c>
      <c r="E10" cm="1">
        <f t="array" aca="1" ref="E10:E72" ca="1">f*EXP(sigma*B_+(mu-sigma*sigma/2)*t_)</f>
        <v>100</v>
      </c>
      <c r="F10" s="11" cm="1">
        <f t="array" aca="1" ref="F10:F72" ca="1">co(put*(t_ = 0) - N*S_/R_)</f>
        <v>-96.012238832325508</v>
      </c>
      <c r="G10" s="8" cm="1">
        <f t="array" aca="1" ref="G10:G72" ca="1">co(ad(_N))</f>
        <v>1</v>
      </c>
      <c r="H10" s="11" cm="1">
        <f t="array" aca="1" ref="H10:H72" ca="1">_xlfn.SCAN(0,M,_xlfn.LAMBDA(_xlpm.a,_xlpm.b,_xlpm.a+_xlpm.b))</f>
        <v>-96.012238832325508</v>
      </c>
      <c r="I10" s="8" cm="1">
        <f t="array" aca="1" ref="I10:I72" ca="1">1*(S_&lt;=k)</f>
        <v>1</v>
      </c>
      <c r="J10" s="8" cm="1">
        <f t="array" aca="1" ref="J10:J72" ca="1">_M * R_ + _N * S_</f>
        <v>3.987761167674492</v>
      </c>
      <c r="K10" cm="1">
        <f t="array" aca="1" ref="K10:K72" ca="1">-M * R_ - N * S_</f>
        <v>-3.987761167674492</v>
      </c>
      <c r="L10" cm="1">
        <f t="array" aca="1" ref="L10:L72" ca="1">_xlfn.MAP(S_,_xlfn.LAMBDA(_xlpm.s,MAX(k-_xlpm.s,0)))</f>
        <v>0</v>
      </c>
      <c r="M10" s="22">
        <f ca="1">put - G10*E10</f>
        <v>-96.012238832325508</v>
      </c>
      <c r="N10" s="22">
        <f ca="1">F10-M10</f>
        <v>0</v>
      </c>
    </row>
    <row r="11" spans="2:16" x14ac:dyDescent="0.55000000000000004">
      <c r="B11">
        <v>4.0000000000000001E-3</v>
      </c>
      <c r="C11">
        <f ca="1"/>
        <v>3.2518242925888306E-2</v>
      </c>
      <c r="D11">
        <f ca="1"/>
        <v>1</v>
      </c>
      <c r="E11" s="12">
        <f ca="1"/>
        <v>100.64443244635675</v>
      </c>
      <c r="F11" s="11">
        <f ca="1"/>
        <v>100.64443244635675</v>
      </c>
      <c r="G11" s="8">
        <f ca="1"/>
        <v>-1</v>
      </c>
      <c r="H11" s="11">
        <f ca="1"/>
        <v>4.6321936140312374</v>
      </c>
      <c r="I11" s="8">
        <f ca="1"/>
        <v>0</v>
      </c>
      <c r="J11" s="8">
        <f ca="1"/>
        <v>4.6321936140312374</v>
      </c>
      <c r="K11">
        <f ca="1"/>
        <v>0</v>
      </c>
      <c r="L11">
        <f ca="1"/>
        <v>0</v>
      </c>
      <c r="M11" s="22">
        <f ca="1" xml:space="preserve"> - G11*E11</f>
        <v>100.64443244635675</v>
      </c>
      <c r="N11" s="22">
        <f ca="1">F11-M11</f>
        <v>0</v>
      </c>
    </row>
    <row r="12" spans="2:16" x14ac:dyDescent="0.55000000000000004">
      <c r="B12">
        <v>8.0000000000000002E-3</v>
      </c>
      <c r="C12">
        <f ca="1"/>
        <v>-2.2042040483143233E-2</v>
      </c>
      <c r="D12">
        <f ca="1"/>
        <v>1</v>
      </c>
      <c r="E12" s="12">
        <f ca="1"/>
        <v>99.544201120705765</v>
      </c>
      <c r="F12" s="11">
        <f ca="1"/>
        <v>-99.544201120705765</v>
      </c>
      <c r="G12" s="8">
        <f ca="1"/>
        <v>1</v>
      </c>
      <c r="H12" s="11">
        <f ca="1"/>
        <v>-94.912007506674527</v>
      </c>
      <c r="I12" s="8">
        <f ca="1"/>
        <v>1</v>
      </c>
      <c r="J12" s="8">
        <f ca="1"/>
        <v>4.6321936140312374</v>
      </c>
      <c r="K12">
        <f ca="1"/>
        <v>0</v>
      </c>
      <c r="L12">
        <f ca="1"/>
        <v>0.45579887929423535</v>
      </c>
    </row>
    <row r="13" spans="2:16" x14ac:dyDescent="0.55000000000000004">
      <c r="B13">
        <v>1.2E-2</v>
      </c>
      <c r="C13">
        <f ca="1"/>
        <v>-9.2413879581635994E-2</v>
      </c>
      <c r="D13">
        <f ca="1"/>
        <v>1</v>
      </c>
      <c r="E13" s="12">
        <f ca="1"/>
        <v>98.14514064992899</v>
      </c>
      <c r="F13" s="11">
        <f ca="1"/>
        <v>0</v>
      </c>
      <c r="G13" s="8">
        <f ca="1"/>
        <v>0</v>
      </c>
      <c r="H13" s="11">
        <f ca="1"/>
        <v>-94.912007506674527</v>
      </c>
      <c r="I13" s="8">
        <f ca="1"/>
        <v>1</v>
      </c>
      <c r="J13" s="8">
        <f ca="1"/>
        <v>3.233133143254463</v>
      </c>
      <c r="K13">
        <f ca="1"/>
        <v>0</v>
      </c>
      <c r="L13">
        <f ca="1"/>
        <v>1.8548593500710098</v>
      </c>
    </row>
    <row r="14" spans="2:16" x14ac:dyDescent="0.55000000000000004">
      <c r="B14">
        <v>1.6E-2</v>
      </c>
      <c r="C14">
        <f ca="1"/>
        <v>-6.2110939198036924E-3</v>
      </c>
      <c r="D14">
        <f ca="1"/>
        <v>1</v>
      </c>
      <c r="E14" s="12">
        <f ca="1"/>
        <v>99.843900084461225</v>
      </c>
      <c r="F14" s="11">
        <f ca="1"/>
        <v>0</v>
      </c>
      <c r="G14" s="8">
        <f ca="1"/>
        <v>0</v>
      </c>
      <c r="H14" s="11">
        <f ca="1"/>
        <v>-94.912007506674527</v>
      </c>
      <c r="I14" s="8">
        <f ca="1"/>
        <v>1</v>
      </c>
      <c r="J14" s="8">
        <f ca="1"/>
        <v>4.931892577786698</v>
      </c>
      <c r="K14">
        <f ca="1"/>
        <v>0</v>
      </c>
      <c r="L14">
        <f ca="1"/>
        <v>0.15609991553877478</v>
      </c>
      <c r="M14" s="22">
        <f ca="1">f*EXP(sigma*C14-sigma^2*B14/2)</f>
        <v>99.843900084461225</v>
      </c>
      <c r="N14" s="23">
        <f ca="1">E14-M14</f>
        <v>0</v>
      </c>
    </row>
    <row r="15" spans="2:16" x14ac:dyDescent="0.55000000000000004">
      <c r="B15">
        <v>0.02</v>
      </c>
      <c r="C15">
        <f ca="1"/>
        <v>4.0955929637588012E-2</v>
      </c>
      <c r="D15">
        <f ca="1"/>
        <v>1</v>
      </c>
      <c r="E15" s="12">
        <f ca="1"/>
        <v>100.7821616194548</v>
      </c>
      <c r="F15" s="11">
        <f ca="1"/>
        <v>100.7821616194548</v>
      </c>
      <c r="G15" s="8">
        <f ca="1"/>
        <v>-1</v>
      </c>
      <c r="H15" s="11">
        <f ca="1"/>
        <v>5.8701541127802699</v>
      </c>
      <c r="I15" s="8">
        <f ca="1"/>
        <v>0</v>
      </c>
      <c r="J15" s="8">
        <f ca="1"/>
        <v>5.8701541127802699</v>
      </c>
      <c r="K15">
        <f ca="1"/>
        <v>0</v>
      </c>
      <c r="L15">
        <f ca="1"/>
        <v>0</v>
      </c>
    </row>
    <row r="16" spans="2:16" x14ac:dyDescent="0.55000000000000004">
      <c r="B16">
        <v>2.4E-2</v>
      </c>
      <c r="C16">
        <f ca="1"/>
        <v>0.13234814668334655</v>
      </c>
      <c r="D16">
        <f ca="1"/>
        <v>1</v>
      </c>
      <c r="E16" s="12">
        <f ca="1"/>
        <v>102.63303046921945</v>
      </c>
      <c r="F16" s="11">
        <f ca="1"/>
        <v>0</v>
      </c>
      <c r="G16" s="8">
        <f ca="1"/>
        <v>0</v>
      </c>
      <c r="H16" s="11">
        <f ca="1"/>
        <v>5.8701541127802699</v>
      </c>
      <c r="I16" s="8">
        <f ca="1"/>
        <v>0</v>
      </c>
      <c r="J16" s="8">
        <f ca="1"/>
        <v>5.8701541127802699</v>
      </c>
      <c r="K16">
        <f ca="1"/>
        <v>0</v>
      </c>
      <c r="L16">
        <f ca="1"/>
        <v>0</v>
      </c>
      <c r="M16" s="22" cm="1">
        <f t="array" aca="1" ref="M16" ca="1">_xll.OPTION.BLACK.PUT_DELTA(E16,sigma*SQRT(t - B16),k)</f>
        <v>-0.37414784688361569</v>
      </c>
      <c r="N16" s="23">
        <f ca="1">I16-M16</f>
        <v>0.37414784688361569</v>
      </c>
    </row>
    <row r="17" spans="2:16" x14ac:dyDescent="0.55000000000000004">
      <c r="B17">
        <v>2.8000000000000001E-2</v>
      </c>
      <c r="C17">
        <f ca="1"/>
        <v>0.21034067430672881</v>
      </c>
      <c r="D17">
        <f ca="1"/>
        <v>1</v>
      </c>
      <c r="E17" s="12">
        <f ca="1"/>
        <v>104.23816414471059</v>
      </c>
      <c r="F17" s="11">
        <f ca="1"/>
        <v>0</v>
      </c>
      <c r="G17" s="8">
        <f ca="1"/>
        <v>0</v>
      </c>
      <c r="H17" s="11">
        <f ca="1"/>
        <v>5.8701541127802699</v>
      </c>
      <c r="I17" s="8">
        <f ca="1"/>
        <v>0</v>
      </c>
      <c r="J17" s="8">
        <f ca="1"/>
        <v>5.8701541127802699</v>
      </c>
      <c r="K17">
        <f ca="1"/>
        <v>0</v>
      </c>
      <c r="L17">
        <f ca="1"/>
        <v>0</v>
      </c>
    </row>
    <row r="18" spans="2:16" x14ac:dyDescent="0.55000000000000004">
      <c r="B18">
        <v>3.2000000000000001E-2</v>
      </c>
      <c r="C18">
        <f ca="1"/>
        <v>0.20507564818206209</v>
      </c>
      <c r="D18">
        <f ca="1"/>
        <v>1</v>
      </c>
      <c r="E18" s="12">
        <f ca="1"/>
        <v>104.12012864014572</v>
      </c>
      <c r="F18" s="11">
        <f ca="1"/>
        <v>0</v>
      </c>
      <c r="G18" s="8">
        <f ca="1"/>
        <v>0</v>
      </c>
      <c r="H18" s="11">
        <f ca="1"/>
        <v>5.8701541127802699</v>
      </c>
      <c r="I18" s="8">
        <f ca="1"/>
        <v>0</v>
      </c>
      <c r="J18" s="8">
        <f ca="1"/>
        <v>5.8701541127802699</v>
      </c>
      <c r="K18">
        <f ca="1"/>
        <v>0</v>
      </c>
      <c r="L18">
        <f ca="1"/>
        <v>0</v>
      </c>
    </row>
    <row r="19" spans="2:16" x14ac:dyDescent="0.55000000000000004">
      <c r="B19">
        <v>3.6000000000000004E-2</v>
      </c>
      <c r="C19">
        <f ca="1"/>
        <v>9.9586424852735791E-2</v>
      </c>
      <c r="D19">
        <f ca="1"/>
        <v>1</v>
      </c>
      <c r="E19" s="12">
        <f ca="1"/>
        <v>101.93827376742097</v>
      </c>
      <c r="F19" s="11">
        <f ca="1"/>
        <v>0</v>
      </c>
      <c r="G19" s="8">
        <f ca="1"/>
        <v>0</v>
      </c>
      <c r="H19" s="11">
        <f ca="1"/>
        <v>5.8701541127802699</v>
      </c>
      <c r="I19" s="8">
        <f ca="1"/>
        <v>0</v>
      </c>
      <c r="J19" s="8">
        <f ca="1"/>
        <v>5.8701541127802699</v>
      </c>
      <c r="K19">
        <f ca="1"/>
        <v>0</v>
      </c>
      <c r="L19">
        <f ca="1"/>
        <v>0</v>
      </c>
    </row>
    <row r="20" spans="2:16" x14ac:dyDescent="0.55000000000000004">
      <c r="B20">
        <v>0.04</v>
      </c>
      <c r="C20">
        <f ca="1"/>
        <v>8.0207966797765207E-2</v>
      </c>
      <c r="D20">
        <f ca="1"/>
        <v>1</v>
      </c>
      <c r="E20" s="12">
        <f ca="1"/>
        <v>101.5358338818442</v>
      </c>
      <c r="F20" s="11">
        <f ca="1"/>
        <v>0</v>
      </c>
      <c r="G20" s="8">
        <f ca="1"/>
        <v>0</v>
      </c>
      <c r="H20" s="11">
        <f ca="1"/>
        <v>5.8701541127802699</v>
      </c>
      <c r="I20" s="8">
        <f ca="1"/>
        <v>0</v>
      </c>
      <c r="J20" s="8">
        <f ca="1"/>
        <v>5.8701541127802699</v>
      </c>
      <c r="K20">
        <f ca="1"/>
        <v>0</v>
      </c>
      <c r="L20">
        <f ca="1"/>
        <v>0</v>
      </c>
      <c r="M20" s="7">
        <f t="array" aca="1" ref="M20:M21" ca="1">_xll.MONTE.STDEV(C20)</f>
        <v>1.9389343090459451E-3</v>
      </c>
      <c r="N20" s="7">
        <v>0</v>
      </c>
      <c r="O20" s="7">
        <f t="array" aca="1" ref="O20:O21" ca="1">_xll.MONTE.STDEV(E20)</f>
        <v>100.03731273708843</v>
      </c>
      <c r="P20" s="7">
        <f>f*EXP(mu*B20)</f>
        <v>100</v>
      </c>
    </row>
    <row r="21" spans="2:16" x14ac:dyDescent="0.55000000000000004">
      <c r="B21">
        <v>4.3999999999999997E-2</v>
      </c>
      <c r="C21">
        <f ca="1"/>
        <v>7.2477689338990292E-2</v>
      </c>
      <c r="D21">
        <f ca="1"/>
        <v>1</v>
      </c>
      <c r="E21" s="12">
        <f ca="1"/>
        <v>101.37086514206224</v>
      </c>
      <c r="F21" s="11">
        <f ca="1"/>
        <v>0</v>
      </c>
      <c r="G21" s="8">
        <f ca="1"/>
        <v>0</v>
      </c>
      <c r="H21" s="11">
        <f ca="1"/>
        <v>5.8701541127802699</v>
      </c>
      <c r="I21" s="8">
        <f ca="1"/>
        <v>0</v>
      </c>
      <c r="J21" s="8">
        <f ca="1"/>
        <v>5.8701541127802699</v>
      </c>
      <c r="K21">
        <f ca="1"/>
        <v>0</v>
      </c>
      <c r="L21">
        <f ca="1"/>
        <v>0</v>
      </c>
      <c r="M21" s="7">
        <f ca="1"/>
        <v>0.19821599857598771</v>
      </c>
      <c r="N21" s="7">
        <f>SQRT(B20)</f>
        <v>0.2</v>
      </c>
      <c r="O21" s="7">
        <f ca="1"/>
        <v>3.9638153276009618</v>
      </c>
      <c r="P21" s="7"/>
    </row>
    <row r="22" spans="2:16" x14ac:dyDescent="0.55000000000000004">
      <c r="B22">
        <v>4.8000000000000001E-2</v>
      </c>
      <c r="C22">
        <f ca="1"/>
        <v>6.2097692930649567E-2</v>
      </c>
      <c r="D22">
        <f ca="1"/>
        <v>1</v>
      </c>
      <c r="E22" s="12">
        <f ca="1"/>
        <v>101.1525450631692</v>
      </c>
      <c r="F22" s="11">
        <f ca="1"/>
        <v>0</v>
      </c>
      <c r="G22" s="8">
        <f ca="1"/>
        <v>0</v>
      </c>
      <c r="H22" s="11">
        <f ca="1"/>
        <v>5.8701541127802699</v>
      </c>
      <c r="I22" s="8">
        <f ca="1"/>
        <v>0</v>
      </c>
      <c r="J22" s="8">
        <f ca="1"/>
        <v>5.8701541127802699</v>
      </c>
      <c r="K22">
        <f ca="1"/>
        <v>0</v>
      </c>
      <c r="L22">
        <f ca="1"/>
        <v>0</v>
      </c>
    </row>
    <row r="23" spans="2:16" x14ac:dyDescent="0.55000000000000004">
      <c r="B23">
        <v>5.2000000000000005E-2</v>
      </c>
      <c r="C23">
        <f ca="1"/>
        <v>0.21662142806465678</v>
      </c>
      <c r="D23">
        <f ca="1"/>
        <v>1</v>
      </c>
      <c r="E23" s="12">
        <f ca="1"/>
        <v>104.31910007933558</v>
      </c>
      <c r="F23" s="11">
        <f ca="1"/>
        <v>0</v>
      </c>
      <c r="G23" s="8">
        <f ca="1"/>
        <v>0</v>
      </c>
      <c r="H23" s="11">
        <f ca="1"/>
        <v>5.8701541127802699</v>
      </c>
      <c r="I23" s="8">
        <f ca="1"/>
        <v>0</v>
      </c>
      <c r="J23" s="8">
        <f ca="1"/>
        <v>5.8701541127802699</v>
      </c>
      <c r="K23">
        <f ca="1"/>
        <v>0</v>
      </c>
      <c r="L23">
        <f ca="1"/>
        <v>0</v>
      </c>
    </row>
    <row r="24" spans="2:16" x14ac:dyDescent="0.55000000000000004">
      <c r="B24">
        <v>5.6000000000000001E-2</v>
      </c>
      <c r="C24">
        <f ca="1"/>
        <v>0.25330017796982374</v>
      </c>
      <c r="D24">
        <f ca="1"/>
        <v>1</v>
      </c>
      <c r="E24" s="12">
        <f ca="1"/>
        <v>105.07876602808189</v>
      </c>
      <c r="F24" s="11">
        <f ca="1"/>
        <v>0</v>
      </c>
      <c r="G24" s="8">
        <f ca="1"/>
        <v>0</v>
      </c>
      <c r="H24" s="11">
        <f ca="1"/>
        <v>5.8701541127802699</v>
      </c>
      <c r="I24" s="8">
        <f ca="1"/>
        <v>0</v>
      </c>
      <c r="J24" s="8">
        <f ca="1"/>
        <v>5.8701541127802699</v>
      </c>
      <c r="K24">
        <f ca="1"/>
        <v>0</v>
      </c>
      <c r="L24">
        <f ca="1"/>
        <v>0</v>
      </c>
    </row>
    <row r="25" spans="2:16" x14ac:dyDescent="0.55000000000000004">
      <c r="B25">
        <v>0.06</v>
      </c>
      <c r="C25">
        <f ca="1"/>
        <v>0.16143654216505043</v>
      </c>
      <c r="D25">
        <f ca="1"/>
        <v>1</v>
      </c>
      <c r="E25" s="12">
        <f ca="1"/>
        <v>103.15755652010385</v>
      </c>
      <c r="F25" s="11">
        <f ca="1"/>
        <v>0</v>
      </c>
      <c r="G25" s="8">
        <f ca="1"/>
        <v>0</v>
      </c>
      <c r="H25" s="11">
        <f ca="1"/>
        <v>5.8701541127802699</v>
      </c>
      <c r="I25" s="8">
        <f ca="1"/>
        <v>0</v>
      </c>
      <c r="J25" s="8">
        <f ca="1"/>
        <v>5.8701541127802699</v>
      </c>
      <c r="K25">
        <f ca="1"/>
        <v>0</v>
      </c>
      <c r="L25">
        <f ca="1"/>
        <v>0</v>
      </c>
    </row>
    <row r="26" spans="2:16" x14ac:dyDescent="0.55000000000000004">
      <c r="B26">
        <v>6.4000000000000001E-2</v>
      </c>
      <c r="C26">
        <f ca="1"/>
        <v>0.10985648666976952</v>
      </c>
      <c r="D26">
        <f ca="1"/>
        <v>1</v>
      </c>
      <c r="E26" s="12">
        <f ca="1"/>
        <v>102.09068463224268</v>
      </c>
      <c r="F26" s="11">
        <f ca="1"/>
        <v>0</v>
      </c>
      <c r="G26" s="8">
        <f ca="1"/>
        <v>0</v>
      </c>
      <c r="H26" s="11">
        <f ca="1"/>
        <v>5.8701541127802699</v>
      </c>
      <c r="I26" s="8">
        <f ca="1"/>
        <v>0</v>
      </c>
      <c r="J26" s="8">
        <f ca="1"/>
        <v>5.8701541127802699</v>
      </c>
      <c r="K26">
        <f ca="1"/>
        <v>0</v>
      </c>
      <c r="L26">
        <f ca="1"/>
        <v>0</v>
      </c>
    </row>
    <row r="27" spans="2:16" x14ac:dyDescent="0.55000000000000004">
      <c r="B27">
        <v>6.8000000000000005E-2</v>
      </c>
      <c r="C27">
        <f ca="1"/>
        <v>0.1687043632760177</v>
      </c>
      <c r="D27">
        <f ca="1"/>
        <v>1</v>
      </c>
      <c r="E27" s="12">
        <f ca="1"/>
        <v>103.2910837888966</v>
      </c>
      <c r="F27" s="11">
        <f ca="1"/>
        <v>0</v>
      </c>
      <c r="G27" s="8">
        <f ca="1"/>
        <v>0</v>
      </c>
      <c r="H27" s="11">
        <f ca="1"/>
        <v>5.8701541127802699</v>
      </c>
      <c r="I27" s="8">
        <f ca="1"/>
        <v>0</v>
      </c>
      <c r="J27" s="8">
        <f ca="1"/>
        <v>5.8701541127802699</v>
      </c>
      <c r="K27">
        <f ca="1"/>
        <v>0</v>
      </c>
      <c r="L27">
        <f ca="1"/>
        <v>0</v>
      </c>
    </row>
    <row r="28" spans="2:16" x14ac:dyDescent="0.55000000000000004">
      <c r="B28">
        <v>7.2000000000000008E-2</v>
      </c>
      <c r="C28">
        <f ca="1"/>
        <v>0.15983844543554215</v>
      </c>
      <c r="D28">
        <f ca="1"/>
        <v>1</v>
      </c>
      <c r="E28" s="12">
        <f ca="1"/>
        <v>103.09984370590909</v>
      </c>
      <c r="F28" s="11">
        <f ca="1"/>
        <v>0</v>
      </c>
      <c r="G28" s="8">
        <f ca="1"/>
        <v>0</v>
      </c>
      <c r="H28" s="11">
        <f ca="1"/>
        <v>5.8701541127802699</v>
      </c>
      <c r="I28" s="8">
        <f ca="1"/>
        <v>0</v>
      </c>
      <c r="J28" s="8">
        <f ca="1"/>
        <v>5.8701541127802699</v>
      </c>
      <c r="K28">
        <f ca="1"/>
        <v>0</v>
      </c>
      <c r="L28">
        <f ca="1"/>
        <v>0</v>
      </c>
    </row>
    <row r="29" spans="2:16" x14ac:dyDescent="0.55000000000000004">
      <c r="B29">
        <v>7.5999999999999998E-2</v>
      </c>
      <c r="C29">
        <f ca="1"/>
        <v>0.23248236010962478</v>
      </c>
      <c r="D29">
        <f ca="1"/>
        <v>1</v>
      </c>
      <c r="E29" s="12">
        <f ca="1"/>
        <v>104.60032492776834</v>
      </c>
      <c r="F29" s="11">
        <f ca="1"/>
        <v>0</v>
      </c>
      <c r="G29" s="8">
        <f ca="1"/>
        <v>0</v>
      </c>
      <c r="H29" s="11">
        <f ca="1"/>
        <v>5.8701541127802699</v>
      </c>
      <c r="I29" s="8">
        <f ca="1"/>
        <v>0</v>
      </c>
      <c r="J29" s="8">
        <f ca="1"/>
        <v>5.8701541127802699</v>
      </c>
      <c r="K29">
        <f ca="1"/>
        <v>0</v>
      </c>
      <c r="L29">
        <f ca="1"/>
        <v>0</v>
      </c>
    </row>
    <row r="30" spans="2:16" x14ac:dyDescent="0.55000000000000004">
      <c r="B30">
        <v>0.08</v>
      </c>
      <c r="C30">
        <f ca="1"/>
        <v>0.12802356138371518</v>
      </c>
      <c r="D30">
        <f ca="1"/>
        <v>1</v>
      </c>
      <c r="E30" s="12">
        <f ca="1"/>
        <v>102.42951446414372</v>
      </c>
      <c r="F30" s="11">
        <f ca="1"/>
        <v>0</v>
      </c>
      <c r="G30" s="8">
        <f ca="1"/>
        <v>0</v>
      </c>
      <c r="H30" s="11">
        <f ca="1"/>
        <v>5.8701541127802699</v>
      </c>
      <c r="I30" s="8">
        <f ca="1"/>
        <v>0</v>
      </c>
      <c r="J30" s="8">
        <f ca="1"/>
        <v>5.8701541127802699</v>
      </c>
      <c r="K30">
        <f ca="1"/>
        <v>0</v>
      </c>
      <c r="L30">
        <f ca="1"/>
        <v>0</v>
      </c>
    </row>
    <row r="31" spans="2:16" x14ac:dyDescent="0.55000000000000004">
      <c r="B31">
        <v>8.4000000000000005E-2</v>
      </c>
      <c r="C31">
        <f ca="1"/>
        <v>0.15015733378178253</v>
      </c>
      <c r="D31">
        <f ca="1"/>
        <v>1</v>
      </c>
      <c r="E31" s="12">
        <f ca="1"/>
        <v>102.87571948426057</v>
      </c>
      <c r="F31" s="11">
        <f ca="1"/>
        <v>0</v>
      </c>
      <c r="G31" s="8">
        <f ca="1"/>
        <v>0</v>
      </c>
      <c r="H31" s="11">
        <f ca="1"/>
        <v>5.8701541127802699</v>
      </c>
      <c r="I31" s="8">
        <f ca="1"/>
        <v>0</v>
      </c>
      <c r="J31" s="8">
        <f ca="1"/>
        <v>5.8701541127802699</v>
      </c>
      <c r="K31">
        <f ca="1"/>
        <v>0</v>
      </c>
      <c r="L31">
        <f ca="1"/>
        <v>0</v>
      </c>
    </row>
    <row r="32" spans="2:16" x14ac:dyDescent="0.55000000000000004">
      <c r="B32">
        <v>8.7999999999999995E-2</v>
      </c>
      <c r="C32">
        <f ca="1"/>
        <v>0.12445086837877289</v>
      </c>
      <c r="D32">
        <f ca="1"/>
        <v>1</v>
      </c>
      <c r="E32" s="12">
        <f ca="1"/>
        <v>102.33997505840439</v>
      </c>
      <c r="F32" s="11">
        <f ca="1"/>
        <v>0</v>
      </c>
      <c r="G32" s="8">
        <f ca="1"/>
        <v>0</v>
      </c>
      <c r="H32" s="11">
        <f ca="1"/>
        <v>5.8701541127802699</v>
      </c>
      <c r="I32" s="8">
        <f ca="1"/>
        <v>0</v>
      </c>
      <c r="J32" s="8">
        <f ca="1"/>
        <v>5.8701541127802699</v>
      </c>
      <c r="K32">
        <f ca="1"/>
        <v>0</v>
      </c>
      <c r="L32">
        <f ca="1"/>
        <v>0</v>
      </c>
    </row>
    <row r="33" spans="2:12" x14ac:dyDescent="0.55000000000000004">
      <c r="B33">
        <v>9.1999999999999998E-2</v>
      </c>
      <c r="C33">
        <f ca="1"/>
        <v>0.14767561184554251</v>
      </c>
      <c r="D33">
        <f ca="1"/>
        <v>1</v>
      </c>
      <c r="E33" s="12">
        <f ca="1"/>
        <v>102.80821973715624</v>
      </c>
      <c r="F33" s="11">
        <f ca="1"/>
        <v>0</v>
      </c>
      <c r="G33" s="8">
        <f ca="1"/>
        <v>0</v>
      </c>
      <c r="H33" s="11">
        <f ca="1"/>
        <v>5.8701541127802699</v>
      </c>
      <c r="I33" s="8">
        <f ca="1"/>
        <v>0</v>
      </c>
      <c r="J33" s="8">
        <f ca="1"/>
        <v>5.8701541127802699</v>
      </c>
      <c r="K33">
        <f ca="1"/>
        <v>0</v>
      </c>
      <c r="L33">
        <f ca="1"/>
        <v>0</v>
      </c>
    </row>
    <row r="34" spans="2:12" x14ac:dyDescent="0.55000000000000004">
      <c r="B34">
        <v>9.6000000000000002E-2</v>
      </c>
      <c r="C34">
        <f ca="1"/>
        <v>0.20287491904196173</v>
      </c>
      <c r="D34">
        <f ca="1"/>
        <v>1</v>
      </c>
      <c r="E34" s="12">
        <f ca="1"/>
        <v>103.94118078757757</v>
      </c>
      <c r="F34" s="11">
        <f ca="1"/>
        <v>0</v>
      </c>
      <c r="G34" s="8">
        <f ca="1"/>
        <v>0</v>
      </c>
      <c r="H34" s="11">
        <f ca="1"/>
        <v>5.8701541127802699</v>
      </c>
      <c r="I34" s="8">
        <f ca="1"/>
        <v>0</v>
      </c>
      <c r="J34" s="8">
        <f ca="1"/>
        <v>5.8701541127802699</v>
      </c>
      <c r="K34">
        <f ca="1"/>
        <v>0</v>
      </c>
      <c r="L34">
        <f ca="1"/>
        <v>0</v>
      </c>
    </row>
    <row r="35" spans="2:12" x14ac:dyDescent="0.55000000000000004">
      <c r="B35">
        <v>0.1</v>
      </c>
      <c r="C35">
        <f ca="1"/>
        <v>0.13176620748212106</v>
      </c>
      <c r="D35">
        <f ca="1"/>
        <v>1</v>
      </c>
      <c r="E35" s="12">
        <f ca="1"/>
        <v>102.46522036480563</v>
      </c>
      <c r="F35" s="11">
        <f ca="1"/>
        <v>0</v>
      </c>
      <c r="G35" s="8">
        <f ca="1"/>
        <v>0</v>
      </c>
      <c r="H35" s="11">
        <f ca="1"/>
        <v>5.8701541127802699</v>
      </c>
      <c r="I35" s="8">
        <f ca="1"/>
        <v>0</v>
      </c>
      <c r="J35" s="8">
        <f ca="1"/>
        <v>5.8701541127802699</v>
      </c>
      <c r="K35">
        <f ca="1"/>
        <v>0</v>
      </c>
      <c r="L35">
        <f ca="1"/>
        <v>0</v>
      </c>
    </row>
    <row r="36" spans="2:12" x14ac:dyDescent="0.55000000000000004">
      <c r="B36">
        <v>0.10400000000000001</v>
      </c>
      <c r="C36">
        <f ca="1"/>
        <v>7.1822630686902311E-2</v>
      </c>
      <c r="D36">
        <f ca="1"/>
        <v>1</v>
      </c>
      <c r="E36" s="12">
        <f ca="1"/>
        <v>101.23602908552824</v>
      </c>
      <c r="F36" s="11">
        <f ca="1"/>
        <v>0</v>
      </c>
      <c r="G36" s="8">
        <f ca="1"/>
        <v>0</v>
      </c>
      <c r="H36" s="11">
        <f ca="1"/>
        <v>5.8701541127802699</v>
      </c>
      <c r="I36" s="8">
        <f ca="1"/>
        <v>0</v>
      </c>
      <c r="J36" s="8">
        <f ca="1"/>
        <v>5.8701541127802699</v>
      </c>
      <c r="K36">
        <f ca="1"/>
        <v>0</v>
      </c>
      <c r="L36">
        <f ca="1"/>
        <v>0</v>
      </c>
    </row>
    <row r="37" spans="2:12" x14ac:dyDescent="0.55000000000000004">
      <c r="B37">
        <v>0.108</v>
      </c>
      <c r="C37">
        <f ca="1"/>
        <v>9.1363430433877957E-2</v>
      </c>
      <c r="D37">
        <f ca="1"/>
        <v>1</v>
      </c>
      <c r="E37" s="12">
        <f ca="1"/>
        <v>101.62431954230354</v>
      </c>
      <c r="F37" s="11">
        <f ca="1"/>
        <v>0</v>
      </c>
      <c r="G37" s="8">
        <f ca="1"/>
        <v>0</v>
      </c>
      <c r="H37" s="11">
        <f ca="1"/>
        <v>5.8701541127802699</v>
      </c>
      <c r="I37" s="8">
        <f ca="1"/>
        <v>0</v>
      </c>
      <c r="J37" s="8">
        <f ca="1"/>
        <v>5.8701541127802699</v>
      </c>
      <c r="K37">
        <f ca="1"/>
        <v>0</v>
      </c>
      <c r="L37">
        <f ca="1"/>
        <v>0</v>
      </c>
    </row>
    <row r="38" spans="2:12" x14ac:dyDescent="0.55000000000000004">
      <c r="B38">
        <v>0.112</v>
      </c>
      <c r="C38">
        <f ca="1"/>
        <v>2.4491713613285448E-2</v>
      </c>
      <c r="D38">
        <f ca="1"/>
        <v>1</v>
      </c>
      <c r="E38" s="12">
        <f ca="1"/>
        <v>100.26618792487444</v>
      </c>
      <c r="F38" s="11">
        <f ca="1"/>
        <v>0</v>
      </c>
      <c r="G38" s="8">
        <f ca="1"/>
        <v>0</v>
      </c>
      <c r="H38" s="11">
        <f ca="1"/>
        <v>5.8701541127802699</v>
      </c>
      <c r="I38" s="8">
        <f ca="1"/>
        <v>0</v>
      </c>
      <c r="J38" s="8">
        <f ca="1"/>
        <v>5.8701541127802699</v>
      </c>
      <c r="K38">
        <f ca="1"/>
        <v>0</v>
      </c>
      <c r="L38">
        <f ca="1"/>
        <v>0</v>
      </c>
    </row>
    <row r="39" spans="2:12" x14ac:dyDescent="0.55000000000000004">
      <c r="B39">
        <v>0.11600000000000001</v>
      </c>
      <c r="C39">
        <f ca="1"/>
        <v>-3.054440338621827E-2</v>
      </c>
      <c r="D39">
        <f ca="1"/>
        <v>1</v>
      </c>
      <c r="E39" s="12">
        <f ca="1"/>
        <v>99.16065427410345</v>
      </c>
      <c r="F39" s="11">
        <f ca="1"/>
        <v>-99.16065427410345</v>
      </c>
      <c r="G39" s="8">
        <f ca="1"/>
        <v>1</v>
      </c>
      <c r="H39" s="11">
        <f ca="1"/>
        <v>-93.29050016132318</v>
      </c>
      <c r="I39" s="8">
        <f ca="1"/>
        <v>1</v>
      </c>
      <c r="J39" s="8">
        <f ca="1"/>
        <v>5.8701541127802699</v>
      </c>
      <c r="K39">
        <f ca="1"/>
        <v>0</v>
      </c>
      <c r="L39">
        <f ca="1"/>
        <v>0.83934572589654977</v>
      </c>
    </row>
    <row r="40" spans="2:12" x14ac:dyDescent="0.55000000000000004">
      <c r="B40">
        <v>0.12</v>
      </c>
      <c r="C40">
        <f ca="1"/>
        <v>-3.6673598899559963E-2</v>
      </c>
      <c r="D40">
        <f ca="1"/>
        <v>1</v>
      </c>
      <c r="E40" s="12">
        <f ca="1"/>
        <v>99.031250922672697</v>
      </c>
      <c r="F40" s="11">
        <f ca="1"/>
        <v>0</v>
      </c>
      <c r="G40" s="8">
        <f ca="1"/>
        <v>0</v>
      </c>
      <c r="H40" s="11">
        <f ca="1"/>
        <v>-93.29050016132318</v>
      </c>
      <c r="I40" s="8">
        <f ca="1"/>
        <v>1</v>
      </c>
      <c r="J40" s="8">
        <f ca="1"/>
        <v>5.740750761349517</v>
      </c>
      <c r="K40">
        <f ca="1"/>
        <v>0</v>
      </c>
      <c r="L40">
        <f ca="1"/>
        <v>0.96874907732730264</v>
      </c>
    </row>
    <row r="41" spans="2:12" x14ac:dyDescent="0.55000000000000004">
      <c r="B41">
        <v>0.124</v>
      </c>
      <c r="C41">
        <f ca="1"/>
        <v>-9.1477426333507236E-2</v>
      </c>
      <c r="D41">
        <f ca="1"/>
        <v>1</v>
      </c>
      <c r="E41" s="12">
        <f ca="1"/>
        <v>97.943883833565721</v>
      </c>
      <c r="F41" s="11">
        <f ca="1"/>
        <v>0</v>
      </c>
      <c r="G41" s="8">
        <f ca="1"/>
        <v>0</v>
      </c>
      <c r="H41" s="11">
        <f ca="1"/>
        <v>-93.29050016132318</v>
      </c>
      <c r="I41" s="8">
        <f ca="1"/>
        <v>1</v>
      </c>
      <c r="J41" s="8">
        <f ca="1"/>
        <v>4.6533836722425406</v>
      </c>
      <c r="K41">
        <f ca="1"/>
        <v>0</v>
      </c>
      <c r="L41">
        <f ca="1"/>
        <v>2.0561161664342791</v>
      </c>
    </row>
    <row r="42" spans="2:12" x14ac:dyDescent="0.55000000000000004">
      <c r="B42">
        <v>0.128</v>
      </c>
      <c r="C42">
        <f ca="1"/>
        <v>-0.19021953568326422</v>
      </c>
      <c r="D42">
        <f ca="1"/>
        <v>1</v>
      </c>
      <c r="E42" s="12">
        <f ca="1"/>
        <v>96.020938671972928</v>
      </c>
      <c r="F42" s="11">
        <f ca="1"/>
        <v>0</v>
      </c>
      <c r="G42" s="8">
        <f ca="1"/>
        <v>0</v>
      </c>
      <c r="H42" s="11">
        <f ca="1"/>
        <v>-93.29050016132318</v>
      </c>
      <c r="I42" s="8">
        <f ca="1"/>
        <v>1</v>
      </c>
      <c r="J42" s="8">
        <f ca="1"/>
        <v>2.7304385106497477</v>
      </c>
      <c r="K42">
        <f ca="1"/>
        <v>0</v>
      </c>
      <c r="L42">
        <f ca="1"/>
        <v>3.9790613280270719</v>
      </c>
    </row>
    <row r="43" spans="2:12" x14ac:dyDescent="0.55000000000000004">
      <c r="B43">
        <v>0.13200000000000001</v>
      </c>
      <c r="C43">
        <f ca="1"/>
        <v>-0.15759944121038483</v>
      </c>
      <c r="D43">
        <f ca="1"/>
        <v>1</v>
      </c>
      <c r="E43" s="12">
        <f ca="1"/>
        <v>96.641697357296792</v>
      </c>
      <c r="F43" s="11">
        <f ca="1"/>
        <v>0</v>
      </c>
      <c r="G43" s="8">
        <f ca="1"/>
        <v>0</v>
      </c>
      <c r="H43" s="11">
        <f ca="1"/>
        <v>-93.29050016132318</v>
      </c>
      <c r="I43" s="8">
        <f ca="1"/>
        <v>1</v>
      </c>
      <c r="J43" s="8">
        <f ca="1"/>
        <v>3.3511971959736115</v>
      </c>
      <c r="K43">
        <f ca="1"/>
        <v>0</v>
      </c>
      <c r="L43">
        <f ca="1"/>
        <v>3.3583026427032081</v>
      </c>
    </row>
    <row r="44" spans="2:12" x14ac:dyDescent="0.55000000000000004">
      <c r="B44">
        <v>0.13600000000000001</v>
      </c>
      <c r="C44">
        <f ca="1"/>
        <v>-0.1302733743440192</v>
      </c>
      <c r="D44">
        <f ca="1"/>
        <v>1</v>
      </c>
      <c r="E44" s="12">
        <f ca="1"/>
        <v>97.163537367085326</v>
      </c>
      <c r="F44" s="11">
        <f ca="1"/>
        <v>0</v>
      </c>
      <c r="G44" s="8">
        <f ca="1"/>
        <v>0</v>
      </c>
      <c r="H44" s="11">
        <f ca="1"/>
        <v>-93.29050016132318</v>
      </c>
      <c r="I44" s="8">
        <f ca="1"/>
        <v>1</v>
      </c>
      <c r="J44" s="8">
        <f ca="1"/>
        <v>3.8730372057621452</v>
      </c>
      <c r="K44">
        <f ca="1"/>
        <v>0</v>
      </c>
      <c r="L44">
        <f ca="1"/>
        <v>2.8364626329146745</v>
      </c>
    </row>
    <row r="45" spans="2:12" x14ac:dyDescent="0.55000000000000004">
      <c r="B45">
        <v>0.14000000000000001</v>
      </c>
      <c r="C45">
        <f ca="1"/>
        <v>-0.21585296423640066</v>
      </c>
      <c r="D45">
        <f ca="1"/>
        <v>1</v>
      </c>
      <c r="E45" s="12">
        <f ca="1"/>
        <v>95.507004766850557</v>
      </c>
      <c r="F45" s="11">
        <f ca="1"/>
        <v>0</v>
      </c>
      <c r="G45" s="8">
        <f ca="1"/>
        <v>0</v>
      </c>
      <c r="H45" s="11">
        <f ca="1"/>
        <v>-93.29050016132318</v>
      </c>
      <c r="I45" s="8">
        <f ca="1"/>
        <v>1</v>
      </c>
      <c r="J45" s="8">
        <f ca="1"/>
        <v>2.2165046055273763</v>
      </c>
      <c r="K45">
        <f ca="1"/>
        <v>0</v>
      </c>
      <c r="L45">
        <f ca="1"/>
        <v>4.4929952331494434</v>
      </c>
    </row>
    <row r="46" spans="2:12" x14ac:dyDescent="0.55000000000000004">
      <c r="B46">
        <v>0.14400000000000002</v>
      </c>
      <c r="C46">
        <f ca="1"/>
        <v>-0.12086859433805185</v>
      </c>
      <c r="D46">
        <f ca="1"/>
        <v>1</v>
      </c>
      <c r="E46" s="12">
        <f ca="1"/>
        <v>97.330895506506351</v>
      </c>
      <c r="F46" s="11">
        <f ca="1"/>
        <v>0</v>
      </c>
      <c r="G46" s="8">
        <f ca="1"/>
        <v>0</v>
      </c>
      <c r="H46" s="11">
        <f ca="1"/>
        <v>-93.29050016132318</v>
      </c>
      <c r="I46" s="8">
        <f ca="1"/>
        <v>1</v>
      </c>
      <c r="J46" s="8">
        <f ca="1"/>
        <v>4.0403953451831711</v>
      </c>
      <c r="K46">
        <f ca="1"/>
        <v>0</v>
      </c>
      <c r="L46">
        <f ca="1"/>
        <v>2.6691044934936485</v>
      </c>
    </row>
    <row r="47" spans="2:12" x14ac:dyDescent="0.55000000000000004">
      <c r="B47">
        <v>0.14799999999999999</v>
      </c>
      <c r="C47">
        <f ca="1"/>
        <v>-7.2553302713611101E-2</v>
      </c>
      <c r="D47">
        <f ca="1"/>
        <v>1</v>
      </c>
      <c r="E47" s="12">
        <f ca="1"/>
        <v>98.268106657129977</v>
      </c>
      <c r="F47" s="11">
        <f ca="1"/>
        <v>0</v>
      </c>
      <c r="G47" s="8">
        <f ca="1"/>
        <v>0</v>
      </c>
      <c r="H47" s="11">
        <f ca="1"/>
        <v>-93.29050016132318</v>
      </c>
      <c r="I47" s="8">
        <f ca="1"/>
        <v>1</v>
      </c>
      <c r="J47" s="8">
        <f ca="1"/>
        <v>4.9776064958067963</v>
      </c>
      <c r="K47">
        <f ca="1"/>
        <v>0</v>
      </c>
      <c r="L47">
        <f ca="1"/>
        <v>1.7318933428700234</v>
      </c>
    </row>
    <row r="48" spans="2:12" x14ac:dyDescent="0.55000000000000004">
      <c r="B48">
        <v>0.152</v>
      </c>
      <c r="C48">
        <f ca="1"/>
        <v>-9.6422965597099369E-2</v>
      </c>
      <c r="D48">
        <f ca="1"/>
        <v>1</v>
      </c>
      <c r="E48" s="12">
        <f ca="1"/>
        <v>97.792275653023196</v>
      </c>
      <c r="F48" s="11">
        <f ca="1"/>
        <v>0</v>
      </c>
      <c r="G48" s="8">
        <f ca="1"/>
        <v>0</v>
      </c>
      <c r="H48" s="11">
        <f ca="1"/>
        <v>-93.29050016132318</v>
      </c>
      <c r="I48" s="8">
        <f ca="1"/>
        <v>1</v>
      </c>
      <c r="J48" s="8">
        <f ca="1"/>
        <v>4.5017754917000161</v>
      </c>
      <c r="K48">
        <f ca="1"/>
        <v>0</v>
      </c>
      <c r="L48">
        <f ca="1"/>
        <v>2.2077243469768035</v>
      </c>
    </row>
    <row r="49" spans="2:12" x14ac:dyDescent="0.55000000000000004">
      <c r="B49">
        <v>0.156</v>
      </c>
      <c r="C49">
        <f ca="1"/>
        <v>-6.9347287145729533E-2</v>
      </c>
      <c r="D49">
        <f ca="1"/>
        <v>1</v>
      </c>
      <c r="E49" s="12">
        <f ca="1"/>
        <v>98.3154049551501</v>
      </c>
      <c r="F49" s="11">
        <f ca="1"/>
        <v>0</v>
      </c>
      <c r="G49" s="8">
        <f ca="1"/>
        <v>0</v>
      </c>
      <c r="H49" s="11">
        <f ca="1"/>
        <v>-93.29050016132318</v>
      </c>
      <c r="I49" s="8">
        <f ca="1"/>
        <v>1</v>
      </c>
      <c r="J49" s="8">
        <f ca="1"/>
        <v>5.02490479382692</v>
      </c>
      <c r="K49">
        <f ca="1"/>
        <v>0</v>
      </c>
      <c r="L49">
        <f ca="1"/>
        <v>1.6845950448498996</v>
      </c>
    </row>
    <row r="50" spans="2:12" x14ac:dyDescent="0.55000000000000004">
      <c r="B50">
        <v>0.16</v>
      </c>
      <c r="C50">
        <f ca="1"/>
        <v>4.121498891038583E-2</v>
      </c>
      <c r="D50">
        <f ca="1"/>
        <v>1</v>
      </c>
      <c r="E50" s="12">
        <f ca="1"/>
        <v>100.50557350978093</v>
      </c>
      <c r="F50" s="11">
        <f ca="1"/>
        <v>100.50557350978093</v>
      </c>
      <c r="G50" s="8">
        <f ca="1"/>
        <v>-1</v>
      </c>
      <c r="H50" s="11">
        <f ca="1"/>
        <v>7.2150733484577501</v>
      </c>
      <c r="I50" s="8">
        <f ca="1"/>
        <v>0</v>
      </c>
      <c r="J50" s="8">
        <f ca="1"/>
        <v>7.2150733484577501</v>
      </c>
      <c r="K50">
        <f ca="1"/>
        <v>0</v>
      </c>
      <c r="L50">
        <f ca="1"/>
        <v>0</v>
      </c>
    </row>
    <row r="51" spans="2:12" x14ac:dyDescent="0.55000000000000004">
      <c r="B51">
        <v>0.16400000000000001</v>
      </c>
      <c r="C51">
        <f ca="1"/>
        <v>0.12796983697902717</v>
      </c>
      <c r="D51">
        <f ca="1"/>
        <v>1</v>
      </c>
      <c r="E51" s="12">
        <f ca="1"/>
        <v>102.25647860787093</v>
      </c>
      <c r="F51" s="11">
        <f ca="1"/>
        <v>0</v>
      </c>
      <c r="G51" s="8">
        <f ca="1"/>
        <v>0</v>
      </c>
      <c r="H51" s="11">
        <f ca="1"/>
        <v>7.2150733484577501</v>
      </c>
      <c r="I51" s="8">
        <f ca="1"/>
        <v>0</v>
      </c>
      <c r="J51" s="8">
        <f ca="1"/>
        <v>7.2150733484577501</v>
      </c>
      <c r="K51">
        <f ca="1"/>
        <v>0</v>
      </c>
      <c r="L51">
        <f ca="1"/>
        <v>0</v>
      </c>
    </row>
    <row r="52" spans="2:12" x14ac:dyDescent="0.55000000000000004">
      <c r="B52">
        <v>0.16800000000000001</v>
      </c>
      <c r="C52">
        <f ca="1"/>
        <v>6.5663609574996645E-2</v>
      </c>
      <c r="D52">
        <f ca="1"/>
        <v>1</v>
      </c>
      <c r="E52" s="12">
        <f ca="1"/>
        <v>100.98206309016986</v>
      </c>
      <c r="F52" s="11">
        <f ca="1"/>
        <v>0</v>
      </c>
      <c r="G52" s="8">
        <f ca="1"/>
        <v>0</v>
      </c>
      <c r="H52" s="11">
        <f ca="1"/>
        <v>7.2150733484577501</v>
      </c>
      <c r="I52" s="8">
        <f ca="1"/>
        <v>0</v>
      </c>
      <c r="J52" s="8">
        <f ca="1"/>
        <v>7.2150733484577501</v>
      </c>
      <c r="K52">
        <f ca="1"/>
        <v>0</v>
      </c>
      <c r="L52">
        <f ca="1"/>
        <v>0</v>
      </c>
    </row>
    <row r="53" spans="2:12" x14ac:dyDescent="0.55000000000000004">
      <c r="B53">
        <v>0.17200000000000001</v>
      </c>
      <c r="C53">
        <f ca="1"/>
        <v>0.1171464984688062</v>
      </c>
      <c r="D53">
        <f ca="1"/>
        <v>1</v>
      </c>
      <c r="E53" s="12">
        <f ca="1"/>
        <v>102.01904236183969</v>
      </c>
      <c r="F53" s="11">
        <f ca="1"/>
        <v>0</v>
      </c>
      <c r="G53" s="8">
        <f ca="1"/>
        <v>0</v>
      </c>
      <c r="H53" s="11">
        <f ca="1"/>
        <v>7.2150733484577501</v>
      </c>
      <c r="I53" s="8">
        <f ca="1"/>
        <v>0</v>
      </c>
      <c r="J53" s="8">
        <f ca="1"/>
        <v>7.2150733484577501</v>
      </c>
      <c r="K53">
        <f ca="1"/>
        <v>0</v>
      </c>
      <c r="L53">
        <f ca="1"/>
        <v>0</v>
      </c>
    </row>
    <row r="54" spans="2:12" x14ac:dyDescent="0.55000000000000004">
      <c r="B54">
        <v>0.17599999999999999</v>
      </c>
      <c r="C54">
        <f ca="1"/>
        <v>-4.885857944763855E-2</v>
      </c>
      <c r="D54">
        <f ca="1"/>
        <v>1</v>
      </c>
      <c r="E54" s="12">
        <f ca="1"/>
        <v>98.679622888923973</v>
      </c>
      <c r="F54" s="11">
        <f ca="1"/>
        <v>-98.679622888923973</v>
      </c>
      <c r="G54" s="8">
        <f ca="1"/>
        <v>1</v>
      </c>
      <c r="H54" s="11">
        <f ca="1"/>
        <v>-91.464549540466223</v>
      </c>
      <c r="I54" s="8">
        <f ca="1"/>
        <v>1</v>
      </c>
      <c r="J54" s="8">
        <f ca="1"/>
        <v>7.2150733484577501</v>
      </c>
      <c r="K54">
        <f ca="1"/>
        <v>0</v>
      </c>
      <c r="L54">
        <f ca="1"/>
        <v>1.3203771110760272</v>
      </c>
    </row>
    <row r="55" spans="2:12" x14ac:dyDescent="0.55000000000000004">
      <c r="B55">
        <v>0.18</v>
      </c>
      <c r="C55">
        <f ca="1"/>
        <v>8.959739189271218E-3</v>
      </c>
      <c r="D55">
        <f ca="1"/>
        <v>1</v>
      </c>
      <c r="E55" s="12">
        <f ca="1"/>
        <v>99.819358137950701</v>
      </c>
      <c r="F55" s="11">
        <f ca="1"/>
        <v>0</v>
      </c>
      <c r="G55" s="8">
        <f ca="1"/>
        <v>0</v>
      </c>
      <c r="H55" s="11">
        <f ca="1"/>
        <v>-91.464549540466223</v>
      </c>
      <c r="I55" s="8">
        <f ca="1"/>
        <v>1</v>
      </c>
      <c r="J55" s="8">
        <f ca="1"/>
        <v>8.3548085974844781</v>
      </c>
      <c r="K55">
        <f ca="1"/>
        <v>0</v>
      </c>
      <c r="L55">
        <f ca="1"/>
        <v>0.18064186204929911</v>
      </c>
    </row>
    <row r="56" spans="2:12" x14ac:dyDescent="0.55000000000000004">
      <c r="B56">
        <v>0.184</v>
      </c>
      <c r="C56">
        <f ca="1"/>
        <v>-4.9825697337377378E-2</v>
      </c>
      <c r="D56">
        <f ca="1"/>
        <v>1</v>
      </c>
      <c r="E56" s="12">
        <f ca="1"/>
        <v>98.644753345754339</v>
      </c>
      <c r="F56" s="11">
        <f ca="1"/>
        <v>0</v>
      </c>
      <c r="G56" s="8">
        <f ca="1"/>
        <v>0</v>
      </c>
      <c r="H56" s="11">
        <f ca="1"/>
        <v>-91.464549540466223</v>
      </c>
      <c r="I56" s="8">
        <f ca="1"/>
        <v>1</v>
      </c>
      <c r="J56" s="8">
        <f ca="1"/>
        <v>7.1802038052881159</v>
      </c>
      <c r="K56">
        <f ca="1"/>
        <v>0</v>
      </c>
      <c r="L56">
        <f ca="1"/>
        <v>1.3552466542456614</v>
      </c>
    </row>
    <row r="57" spans="2:12" x14ac:dyDescent="0.55000000000000004">
      <c r="B57">
        <v>0.188</v>
      </c>
      <c r="C57">
        <f ca="1"/>
        <v>-1.0993803322098213E-2</v>
      </c>
      <c r="D57">
        <f ca="1"/>
        <v>1</v>
      </c>
      <c r="E57" s="12">
        <f ca="1"/>
        <v>99.405895753959399</v>
      </c>
      <c r="F57" s="11">
        <f ca="1"/>
        <v>0</v>
      </c>
      <c r="G57" s="8">
        <f ca="1"/>
        <v>0</v>
      </c>
      <c r="H57" s="11">
        <f ca="1"/>
        <v>-91.464549540466223</v>
      </c>
      <c r="I57" s="8">
        <f ca="1"/>
        <v>1</v>
      </c>
      <c r="J57" s="8">
        <f ca="1"/>
        <v>7.9413462134931763</v>
      </c>
      <c r="K57">
        <f ca="1"/>
        <v>0</v>
      </c>
      <c r="L57">
        <f ca="1"/>
        <v>0.59410424604060097</v>
      </c>
    </row>
    <row r="58" spans="2:12" x14ac:dyDescent="0.55000000000000004">
      <c r="B58">
        <v>0.192</v>
      </c>
      <c r="C58">
        <f ca="1"/>
        <v>1.8869697026822521E-2</v>
      </c>
      <c r="D58">
        <f ca="1"/>
        <v>1</v>
      </c>
      <c r="E58" s="12">
        <f ca="1"/>
        <v>99.993394158731746</v>
      </c>
      <c r="F58" s="11">
        <f ca="1"/>
        <v>0</v>
      </c>
      <c r="G58" s="8">
        <f ca="1"/>
        <v>0</v>
      </c>
      <c r="H58" s="11">
        <f ca="1"/>
        <v>-91.464549540466223</v>
      </c>
      <c r="I58" s="8">
        <f ca="1"/>
        <v>1</v>
      </c>
      <c r="J58" s="8">
        <f ca="1"/>
        <v>8.5288446182655235</v>
      </c>
      <c r="K58">
        <f ca="1"/>
        <v>0</v>
      </c>
      <c r="L58">
        <f ca="1"/>
        <v>6.6058412682536982E-3</v>
      </c>
    </row>
    <row r="59" spans="2:12" x14ac:dyDescent="0.55000000000000004">
      <c r="B59">
        <v>0.19600000000000001</v>
      </c>
      <c r="C59">
        <f ca="1"/>
        <v>-4.9589768933637132E-4</v>
      </c>
      <c r="D59">
        <f ca="1"/>
        <v>1</v>
      </c>
      <c r="E59" s="12">
        <f ca="1"/>
        <v>99.598888655423565</v>
      </c>
      <c r="F59" s="11">
        <f ca="1"/>
        <v>0</v>
      </c>
      <c r="G59" s="8">
        <f ca="1"/>
        <v>0</v>
      </c>
      <c r="H59" s="11">
        <f ca="1"/>
        <v>-91.464549540466223</v>
      </c>
      <c r="I59" s="8">
        <f ca="1"/>
        <v>1</v>
      </c>
      <c r="J59" s="8">
        <f ca="1"/>
        <v>8.1343391149573421</v>
      </c>
      <c r="K59">
        <f ca="1"/>
        <v>0</v>
      </c>
      <c r="L59">
        <f ca="1"/>
        <v>0.40111134457643516</v>
      </c>
    </row>
    <row r="60" spans="2:12" x14ac:dyDescent="0.55000000000000004">
      <c r="B60">
        <v>0.2</v>
      </c>
      <c r="C60">
        <f ca="1"/>
        <v>-4.5326133302656529E-2</v>
      </c>
      <c r="D60">
        <f ca="1"/>
        <v>1</v>
      </c>
      <c r="E60" s="12">
        <f ca="1"/>
        <v>98.701975291823445</v>
      </c>
      <c r="F60" s="11">
        <f ca="1"/>
        <v>0</v>
      </c>
      <c r="G60" s="8">
        <f ca="1"/>
        <v>0</v>
      </c>
      <c r="H60" s="11">
        <f ca="1"/>
        <v>-91.464549540466223</v>
      </c>
      <c r="I60" s="8">
        <f ca="1"/>
        <v>1</v>
      </c>
      <c r="J60" s="8">
        <f ca="1"/>
        <v>7.2374257513572218</v>
      </c>
      <c r="K60">
        <f ca="1"/>
        <v>0</v>
      </c>
      <c r="L60">
        <f ca="1"/>
        <v>1.2980247081765555</v>
      </c>
    </row>
    <row r="61" spans="2:12" x14ac:dyDescent="0.55000000000000004">
      <c r="B61">
        <v>0.20400000000000001</v>
      </c>
      <c r="C61">
        <f ca="1"/>
        <v>-2.5773780941742978E-2</v>
      </c>
      <c r="D61">
        <f ca="1"/>
        <v>1</v>
      </c>
      <c r="E61" s="12">
        <f ca="1"/>
        <v>99.080775321727614</v>
      </c>
      <c r="F61" s="11">
        <f ca="1"/>
        <v>0</v>
      </c>
      <c r="G61" s="8">
        <f ca="1"/>
        <v>0</v>
      </c>
      <c r="H61" s="11">
        <f ca="1"/>
        <v>-91.464549540466223</v>
      </c>
      <c r="I61" s="8">
        <f ca="1"/>
        <v>1</v>
      </c>
      <c r="J61" s="8">
        <f ca="1"/>
        <v>7.6162257812613916</v>
      </c>
      <c r="K61">
        <f ca="1"/>
        <v>0</v>
      </c>
      <c r="L61">
        <f ca="1"/>
        <v>0.91922467827238563</v>
      </c>
    </row>
    <row r="62" spans="2:12" x14ac:dyDescent="0.55000000000000004">
      <c r="B62">
        <v>0.20800000000000002</v>
      </c>
      <c r="C62">
        <f ca="1"/>
        <v>5.6072244425358075E-3</v>
      </c>
      <c r="D62">
        <f ca="1"/>
        <v>1</v>
      </c>
      <c r="E62" s="12">
        <f ca="1"/>
        <v>99.696605662490228</v>
      </c>
      <c r="F62" s="11">
        <f ca="1"/>
        <v>0</v>
      </c>
      <c r="G62" s="8">
        <f ca="1"/>
        <v>0</v>
      </c>
      <c r="H62" s="11">
        <f ca="1"/>
        <v>-91.464549540466223</v>
      </c>
      <c r="I62" s="8">
        <f ca="1"/>
        <v>1</v>
      </c>
      <c r="J62" s="8">
        <f ca="1"/>
        <v>8.2320561220240052</v>
      </c>
      <c r="K62">
        <f ca="1"/>
        <v>0</v>
      </c>
      <c r="L62">
        <f ca="1"/>
        <v>0.30339433750977207</v>
      </c>
    </row>
    <row r="63" spans="2:12" x14ac:dyDescent="0.55000000000000004">
      <c r="B63">
        <v>0.21199999999999999</v>
      </c>
      <c r="C63">
        <f ca="1"/>
        <v>2.5990607615361812E-3</v>
      </c>
      <c r="D63">
        <f ca="1"/>
        <v>1</v>
      </c>
      <c r="E63" s="12">
        <f ca="1"/>
        <v>99.628672347798542</v>
      </c>
      <c r="F63" s="11">
        <f ca="1"/>
        <v>0</v>
      </c>
      <c r="G63" s="8">
        <f ca="1"/>
        <v>0</v>
      </c>
      <c r="H63" s="11">
        <f ca="1"/>
        <v>-91.464549540466223</v>
      </c>
      <c r="I63" s="8">
        <f ca="1"/>
        <v>1</v>
      </c>
      <c r="J63" s="8">
        <f ca="1"/>
        <v>8.1641228073323191</v>
      </c>
      <c r="K63">
        <f ca="1"/>
        <v>0</v>
      </c>
      <c r="L63">
        <f ca="1"/>
        <v>0.37132765220145814</v>
      </c>
    </row>
    <row r="64" spans="2:12" x14ac:dyDescent="0.55000000000000004">
      <c r="B64">
        <v>0.216</v>
      </c>
      <c r="C64">
        <f ca="1"/>
        <v>2.7365353690281612E-2</v>
      </c>
      <c r="D64">
        <f ca="1"/>
        <v>1</v>
      </c>
      <c r="E64" s="12">
        <f ca="1"/>
        <v>100.11537357797087</v>
      </c>
      <c r="F64" s="11">
        <f ca="1"/>
        <v>100.11537357797087</v>
      </c>
      <c r="G64" s="8">
        <f ca="1"/>
        <v>-1</v>
      </c>
      <c r="H64" s="11">
        <f ca="1"/>
        <v>8.6508240375046483</v>
      </c>
      <c r="I64" s="8">
        <f ca="1"/>
        <v>0</v>
      </c>
      <c r="J64" s="8">
        <f ca="1"/>
        <v>8.6508240375046483</v>
      </c>
      <c r="K64">
        <f ca="1"/>
        <v>0</v>
      </c>
      <c r="L64">
        <f ca="1"/>
        <v>0</v>
      </c>
    </row>
    <row r="65" spans="2:12" x14ac:dyDescent="0.55000000000000004">
      <c r="B65">
        <v>0.22</v>
      </c>
      <c r="C65">
        <f ca="1"/>
        <v>7.9289109596839144E-2</v>
      </c>
      <c r="D65">
        <f ca="1"/>
        <v>1</v>
      </c>
      <c r="E65" s="12">
        <f ca="1"/>
        <v>101.15237141810624</v>
      </c>
      <c r="F65" s="11">
        <f ca="1"/>
        <v>0</v>
      </c>
      <c r="G65" s="8">
        <f ca="1"/>
        <v>0</v>
      </c>
      <c r="H65" s="11">
        <f ca="1"/>
        <v>8.6508240375046483</v>
      </c>
      <c r="I65" s="8">
        <f ca="1"/>
        <v>0</v>
      </c>
      <c r="J65" s="8">
        <f ca="1"/>
        <v>8.6508240375046483</v>
      </c>
      <c r="K65">
        <f ca="1"/>
        <v>0</v>
      </c>
      <c r="L65">
        <f ca="1"/>
        <v>0</v>
      </c>
    </row>
    <row r="66" spans="2:12" x14ac:dyDescent="0.55000000000000004">
      <c r="B66">
        <v>0.224</v>
      </c>
      <c r="C66">
        <f ca="1"/>
        <v>5.0962984438448836E-2</v>
      </c>
      <c r="D66">
        <f ca="1"/>
        <v>1</v>
      </c>
      <c r="E66" s="12">
        <f ca="1"/>
        <v>100.57289448843036</v>
      </c>
      <c r="F66" s="11">
        <f ca="1"/>
        <v>0</v>
      </c>
      <c r="G66" s="8">
        <f ca="1"/>
        <v>0</v>
      </c>
      <c r="H66" s="11">
        <f ca="1"/>
        <v>8.6508240375046483</v>
      </c>
      <c r="I66" s="8">
        <f ca="1"/>
        <v>0</v>
      </c>
      <c r="J66" s="8">
        <f ca="1"/>
        <v>8.6508240375046483</v>
      </c>
      <c r="K66">
        <f ca="1"/>
        <v>0</v>
      </c>
      <c r="L66">
        <f ca="1"/>
        <v>0</v>
      </c>
    </row>
    <row r="67" spans="2:12" x14ac:dyDescent="0.55000000000000004">
      <c r="B67">
        <v>0.22800000000000001</v>
      </c>
      <c r="C67">
        <f ca="1"/>
        <v>0.17682556520947107</v>
      </c>
      <c r="D67">
        <f ca="1"/>
        <v>1</v>
      </c>
      <c r="E67" s="12">
        <f ca="1"/>
        <v>103.12845004014551</v>
      </c>
      <c r="F67" s="11">
        <f ca="1"/>
        <v>0</v>
      </c>
      <c r="G67" s="8">
        <f ca="1"/>
        <v>0</v>
      </c>
      <c r="H67" s="11">
        <f ca="1"/>
        <v>8.6508240375046483</v>
      </c>
      <c r="I67" s="8">
        <f ca="1"/>
        <v>0</v>
      </c>
      <c r="J67" s="8">
        <f ca="1"/>
        <v>8.6508240375046483</v>
      </c>
      <c r="K67">
        <f ca="1"/>
        <v>0</v>
      </c>
      <c r="L67">
        <f ca="1"/>
        <v>0</v>
      </c>
    </row>
    <row r="68" spans="2:12" x14ac:dyDescent="0.55000000000000004">
      <c r="B68">
        <v>0.23200000000000001</v>
      </c>
      <c r="C68">
        <f ca="1"/>
        <v>0.1934683338009609</v>
      </c>
      <c r="D68">
        <f ca="1"/>
        <v>1</v>
      </c>
      <c r="E68" s="12">
        <f ca="1"/>
        <v>103.46401310219969</v>
      </c>
      <c r="F68" s="11">
        <f ca="1"/>
        <v>0</v>
      </c>
      <c r="G68" s="8">
        <f ca="1"/>
        <v>0</v>
      </c>
      <c r="H68" s="11">
        <f ca="1"/>
        <v>8.6508240375046483</v>
      </c>
      <c r="I68" s="8">
        <f ca="1"/>
        <v>0</v>
      </c>
      <c r="J68" s="8">
        <f ca="1"/>
        <v>8.6508240375046483</v>
      </c>
      <c r="K68">
        <f ca="1"/>
        <v>0</v>
      </c>
      <c r="L68">
        <f ca="1"/>
        <v>0</v>
      </c>
    </row>
    <row r="69" spans="2:12" x14ac:dyDescent="0.55000000000000004">
      <c r="B69">
        <v>0.23600000000000002</v>
      </c>
      <c r="C69">
        <f ca="1"/>
        <v>0.11558058321986719</v>
      </c>
      <c r="D69">
        <f ca="1"/>
        <v>1</v>
      </c>
      <c r="E69" s="12">
        <f ca="1"/>
        <v>101.85663675807271</v>
      </c>
      <c r="F69" s="11">
        <f ca="1"/>
        <v>0</v>
      </c>
      <c r="G69" s="8">
        <f ca="1"/>
        <v>0</v>
      </c>
      <c r="H69" s="11">
        <f ca="1"/>
        <v>8.6508240375046483</v>
      </c>
      <c r="I69" s="8">
        <f ca="1"/>
        <v>0</v>
      </c>
      <c r="J69" s="8">
        <f ca="1"/>
        <v>8.6508240375046483</v>
      </c>
      <c r="K69">
        <f ca="1"/>
        <v>0</v>
      </c>
      <c r="L69">
        <f ca="1"/>
        <v>0</v>
      </c>
    </row>
    <row r="70" spans="2:12" x14ac:dyDescent="0.55000000000000004">
      <c r="B70">
        <v>0.24</v>
      </c>
      <c r="C70">
        <f ca="1"/>
        <v>0.12049806278878292</v>
      </c>
      <c r="D70">
        <f ca="1"/>
        <v>1</v>
      </c>
      <c r="E70" s="12">
        <f ca="1"/>
        <v>101.94870539873261</v>
      </c>
      <c r="F70" s="11">
        <f ca="1"/>
        <v>0</v>
      </c>
      <c r="G70" s="8">
        <f ca="1"/>
        <v>0</v>
      </c>
      <c r="H70" s="11">
        <f ca="1"/>
        <v>8.6508240375046483</v>
      </c>
      <c r="I70" s="8">
        <f ca="1"/>
        <v>0</v>
      </c>
      <c r="J70" s="8">
        <f ca="1"/>
        <v>8.6508240375046483</v>
      </c>
      <c r="K70">
        <f ca="1"/>
        <v>0</v>
      </c>
      <c r="L70">
        <f ca="1"/>
        <v>0</v>
      </c>
    </row>
    <row r="71" spans="2:12" x14ac:dyDescent="0.55000000000000004">
      <c r="B71">
        <v>0.24399999999999999</v>
      </c>
      <c r="C71">
        <f ca="1"/>
        <v>0.12693845081326197</v>
      </c>
      <c r="D71">
        <f ca="1"/>
        <v>1</v>
      </c>
      <c r="E71" s="12">
        <f ca="1"/>
        <v>102.07194177113563</v>
      </c>
      <c r="F71" s="11">
        <f ca="1"/>
        <v>0</v>
      </c>
      <c r="G71" s="8">
        <f ca="1"/>
        <v>0</v>
      </c>
      <c r="H71" s="11">
        <f ca="1"/>
        <v>8.6508240375046483</v>
      </c>
      <c r="I71" s="8">
        <f ca="1"/>
        <v>0</v>
      </c>
      <c r="J71" s="8">
        <f ca="1"/>
        <v>8.6508240375046483</v>
      </c>
      <c r="K71">
        <f ca="1"/>
        <v>0</v>
      </c>
      <c r="L71">
        <f ca="1"/>
        <v>0</v>
      </c>
    </row>
    <row r="72" spans="2:12" x14ac:dyDescent="0.55000000000000004">
      <c r="B72">
        <v>0.248</v>
      </c>
      <c r="C72">
        <f ca="1"/>
        <v>9.8366075880725504E-2</v>
      </c>
      <c r="D72">
        <f ca="1"/>
        <v>1</v>
      </c>
      <c r="E72" s="12">
        <f ca="1"/>
        <v>101.48219873345587</v>
      </c>
      <c r="F72" s="11">
        <f ca="1"/>
        <v>-8.6508240375046483</v>
      </c>
      <c r="G72" s="8">
        <f ca="1"/>
        <v>0</v>
      </c>
      <c r="H72" s="11">
        <f ca="1"/>
        <v>0</v>
      </c>
      <c r="I72" s="8">
        <f ca="1"/>
        <v>0</v>
      </c>
      <c r="J72" s="8">
        <f ca="1"/>
        <v>0</v>
      </c>
      <c r="K72">
        <f ca="1"/>
        <v>8.6508240375046483</v>
      </c>
      <c r="L72">
        <f ca="1"/>
        <v>0</v>
      </c>
    </row>
    <row r="73" spans="2:12" x14ac:dyDescent="0.55000000000000004">
      <c r="E73" s="12"/>
      <c r="F73" s="11"/>
      <c r="G73" s="8"/>
      <c r="H73" s="11"/>
      <c r="I73" s="8"/>
      <c r="J73" s="8"/>
    </row>
    <row r="74" spans="2:12" x14ac:dyDescent="0.55000000000000004">
      <c r="E74" s="12"/>
      <c r="F74" s="11"/>
      <c r="G74" s="8"/>
      <c r="H74" s="11"/>
      <c r="I74" s="8"/>
      <c r="J74" s="8"/>
    </row>
    <row r="75" spans="2:12" x14ac:dyDescent="0.55000000000000004">
      <c r="E75" s="12"/>
      <c r="F75" s="11"/>
      <c r="G75" s="8"/>
      <c r="H75" s="11"/>
      <c r="I75" s="8"/>
      <c r="J75" s="8"/>
    </row>
    <row r="76" spans="2:12" x14ac:dyDescent="0.55000000000000004">
      <c r="E76" s="12"/>
      <c r="F76" s="11"/>
      <c r="G76" s="8"/>
      <c r="H76" s="11"/>
      <c r="I76" s="8"/>
      <c r="J76" s="8"/>
    </row>
    <row r="77" spans="2:12" x14ac:dyDescent="0.55000000000000004">
      <c r="E77" s="12"/>
      <c r="F77" s="11"/>
      <c r="G77" s="8"/>
      <c r="H77" s="11"/>
      <c r="I77" s="8"/>
      <c r="J77" s="8"/>
    </row>
    <row r="78" spans="2:12" x14ac:dyDescent="0.55000000000000004">
      <c r="E78" s="12"/>
      <c r="F78" s="11"/>
      <c r="G78" s="8"/>
      <c r="H78" s="11"/>
      <c r="I78" s="8"/>
      <c r="J78" s="8"/>
    </row>
    <row r="79" spans="2:12" x14ac:dyDescent="0.55000000000000004">
      <c r="E79" s="12"/>
      <c r="F79" s="11"/>
      <c r="G79" s="8"/>
      <c r="H79" s="11"/>
      <c r="I79" s="8"/>
      <c r="J79" s="8"/>
    </row>
    <row r="80" spans="2:12" x14ac:dyDescent="0.55000000000000004">
      <c r="E80" s="12"/>
      <c r="F80" s="11"/>
      <c r="G80" s="8"/>
      <c r="H80" s="11"/>
      <c r="I80" s="8"/>
      <c r="J80" s="8"/>
    </row>
    <row r="81" spans="5:10" x14ac:dyDescent="0.55000000000000004">
      <c r="E81" s="12"/>
      <c r="F81" s="11"/>
      <c r="G81" s="8"/>
      <c r="H81" s="11"/>
      <c r="I81" s="8"/>
      <c r="J81" s="8"/>
    </row>
    <row r="82" spans="5:10" x14ac:dyDescent="0.55000000000000004">
      <c r="E82" s="12"/>
      <c r="F82" s="11"/>
      <c r="G82" s="8"/>
      <c r="H82" s="11"/>
      <c r="I82" s="8"/>
      <c r="J82" s="8"/>
    </row>
    <row r="83" spans="5:10" x14ac:dyDescent="0.55000000000000004">
      <c r="E83" s="12"/>
      <c r="F83" s="11"/>
      <c r="G83" s="8"/>
      <c r="H83" s="11"/>
      <c r="I83" s="8"/>
      <c r="J83" s="8"/>
    </row>
    <row r="84" spans="5:10" x14ac:dyDescent="0.55000000000000004">
      <c r="E84" s="12"/>
      <c r="F84" s="11"/>
      <c r="G84" s="8"/>
      <c r="H84" s="11"/>
      <c r="I84" s="8"/>
      <c r="J84" s="8"/>
    </row>
    <row r="85" spans="5:10" x14ac:dyDescent="0.55000000000000004">
      <c r="E85" s="12"/>
      <c r="F85" s="11"/>
      <c r="G85" s="8"/>
      <c r="H85" s="11"/>
      <c r="I85" s="8"/>
      <c r="J85" s="8"/>
    </row>
    <row r="86" spans="5:10" x14ac:dyDescent="0.55000000000000004">
      <c r="E86" s="12"/>
      <c r="F86" s="11"/>
      <c r="G86" s="8"/>
      <c r="H86" s="11"/>
      <c r="I86" s="8"/>
      <c r="J86" s="8"/>
    </row>
    <row r="87" spans="5:10" x14ac:dyDescent="0.55000000000000004">
      <c r="E87" s="12"/>
      <c r="F87" s="11"/>
      <c r="G87" s="8"/>
      <c r="H87" s="11"/>
      <c r="I87" s="8"/>
      <c r="J87" s="8"/>
    </row>
    <row r="88" spans="5:10" x14ac:dyDescent="0.55000000000000004">
      <c r="E88" s="12"/>
      <c r="F88" s="11"/>
      <c r="G88" s="8"/>
      <c r="H88" s="11"/>
      <c r="I88" s="8"/>
      <c r="J88" s="8"/>
    </row>
    <row r="89" spans="5:10" x14ac:dyDescent="0.55000000000000004">
      <c r="E89" s="12"/>
      <c r="F89" s="11"/>
      <c r="G89" s="8"/>
      <c r="H89" s="11"/>
      <c r="I89" s="8"/>
      <c r="J89" s="8"/>
    </row>
    <row r="90" spans="5:10" x14ac:dyDescent="0.55000000000000004">
      <c r="E90" s="12"/>
      <c r="F90" s="11"/>
      <c r="G90" s="8"/>
      <c r="H90" s="11"/>
      <c r="I90" s="8"/>
      <c r="J90" s="8"/>
    </row>
    <row r="91" spans="5:10" x14ac:dyDescent="0.55000000000000004">
      <c r="E91" s="12"/>
      <c r="F91" s="11"/>
      <c r="G91" s="8"/>
      <c r="H91" s="11"/>
      <c r="I91" s="8"/>
      <c r="J91" s="8"/>
    </row>
    <row r="92" spans="5:10" x14ac:dyDescent="0.55000000000000004">
      <c r="E92" s="12"/>
      <c r="F92" s="11"/>
      <c r="G92" s="8"/>
      <c r="H92" s="11"/>
      <c r="I92" s="8"/>
      <c r="J92" s="8"/>
    </row>
    <row r="93" spans="5:10" x14ac:dyDescent="0.55000000000000004">
      <c r="E93" s="12"/>
      <c r="F93" s="11"/>
      <c r="G93" s="8"/>
      <c r="H93" s="11"/>
      <c r="I93" s="8"/>
      <c r="J93" s="8"/>
    </row>
    <row r="94" spans="5:10" x14ac:dyDescent="0.55000000000000004">
      <c r="E94" s="12"/>
      <c r="F94" s="11"/>
      <c r="G94" s="8"/>
      <c r="H94" s="11"/>
      <c r="I94" s="8"/>
      <c r="J94" s="8"/>
    </row>
    <row r="95" spans="5:10" x14ac:dyDescent="0.55000000000000004">
      <c r="E95" s="12"/>
      <c r="F95" s="11"/>
      <c r="G95" s="8"/>
      <c r="H95" s="11"/>
      <c r="I95" s="8"/>
      <c r="J95" s="8"/>
    </row>
    <row r="96" spans="5:10" x14ac:dyDescent="0.55000000000000004">
      <c r="E96" s="12"/>
      <c r="F96" s="11"/>
      <c r="G96" s="8"/>
      <c r="H96" s="11"/>
      <c r="I96" s="8"/>
      <c r="J96" s="8"/>
    </row>
    <row r="97" spans="5:10" x14ac:dyDescent="0.55000000000000004">
      <c r="E97" s="12"/>
      <c r="F97" s="11"/>
      <c r="G97" s="8"/>
      <c r="H97" s="11"/>
      <c r="I97" s="8"/>
      <c r="J97" s="8"/>
    </row>
    <row r="98" spans="5:10" x14ac:dyDescent="0.55000000000000004">
      <c r="E98" s="12"/>
      <c r="F98" s="11"/>
      <c r="G98" s="8"/>
      <c r="H98" s="11"/>
      <c r="I98" s="8"/>
      <c r="J98" s="8"/>
    </row>
    <row r="99" spans="5:10" x14ac:dyDescent="0.55000000000000004">
      <c r="E99" s="12"/>
      <c r="F99" s="11"/>
      <c r="G99" s="8"/>
      <c r="H99" s="11"/>
      <c r="I99" s="8"/>
    </row>
    <row r="100" spans="5:10" x14ac:dyDescent="0.55000000000000004">
      <c r="E100" s="12"/>
      <c r="F100" s="11"/>
      <c r="G100" s="8"/>
      <c r="H100" s="11"/>
      <c r="I100" s="8"/>
    </row>
    <row r="101" spans="5:10" x14ac:dyDescent="0.55000000000000004">
      <c r="E101" s="12"/>
      <c r="F101" s="11"/>
      <c r="G101" s="8"/>
      <c r="H101" s="11"/>
      <c r="I101" s="8"/>
    </row>
    <row r="102" spans="5:10" x14ac:dyDescent="0.55000000000000004">
      <c r="E102" s="12"/>
      <c r="F102" s="11"/>
      <c r="G102" s="8"/>
      <c r="H102" s="11"/>
      <c r="I102" s="8"/>
    </row>
    <row r="103" spans="5:10" x14ac:dyDescent="0.55000000000000004">
      <c r="E103" s="12"/>
      <c r="F103" s="11"/>
      <c r="G103" s="8"/>
      <c r="H103" s="11"/>
      <c r="I103" s="8"/>
    </row>
    <row r="104" spans="5:10" x14ac:dyDescent="0.55000000000000004">
      <c r="E104" s="12"/>
      <c r="F104" s="11"/>
      <c r="G104" s="8"/>
      <c r="H104" s="11"/>
      <c r="I104" s="8"/>
    </row>
    <row r="105" spans="5:10" x14ac:dyDescent="0.55000000000000004">
      <c r="E105" s="12"/>
      <c r="F105" s="11"/>
      <c r="G105" s="8"/>
      <c r="H105" s="11"/>
      <c r="I105" s="8"/>
    </row>
    <row r="106" spans="5:10" x14ac:dyDescent="0.55000000000000004">
      <c r="E106" s="12"/>
      <c r="F106" s="11"/>
      <c r="G106" s="8"/>
      <c r="H106" s="11"/>
      <c r="I106" s="8"/>
    </row>
    <row r="107" spans="5:10" x14ac:dyDescent="0.55000000000000004">
      <c r="E107" s="12"/>
      <c r="F107" s="11"/>
      <c r="G107" s="8"/>
      <c r="H107" s="11"/>
      <c r="I107" s="8"/>
    </row>
    <row r="108" spans="5:10" x14ac:dyDescent="0.55000000000000004">
      <c r="E108" s="12"/>
      <c r="F108" s="11"/>
      <c r="G108" s="8"/>
      <c r="H108" s="11"/>
      <c r="I108" s="8"/>
    </row>
    <row r="109" spans="5:10" x14ac:dyDescent="0.55000000000000004">
      <c r="E109" s="12"/>
      <c r="F109" s="11"/>
      <c r="G109" s="8"/>
      <c r="H109" s="11"/>
      <c r="I109" s="8"/>
    </row>
    <row r="110" spans="5:10" x14ac:dyDescent="0.55000000000000004">
      <c r="E110" s="12"/>
      <c r="F110" s="11"/>
      <c r="G110" s="8"/>
      <c r="H110" s="11"/>
      <c r="I110" s="8"/>
    </row>
    <row r="111" spans="5:10" x14ac:dyDescent="0.55000000000000004">
      <c r="F111" s="11"/>
      <c r="G111" s="8"/>
      <c r="H111" s="11"/>
      <c r="I111" s="8"/>
    </row>
    <row r="112" spans="5:10" x14ac:dyDescent="0.55000000000000004">
      <c r="F112" s="11"/>
      <c r="G112" s="8"/>
      <c r="H112" s="11"/>
      <c r="I112" s="8"/>
    </row>
    <row r="113" spans="6:9" x14ac:dyDescent="0.55000000000000004">
      <c r="F113" s="11"/>
      <c r="G113" s="8"/>
      <c r="H113" s="11"/>
      <c r="I113" s="8"/>
    </row>
    <row r="114" spans="6:9" x14ac:dyDescent="0.55000000000000004">
      <c r="F114" s="11"/>
      <c r="G114" s="8"/>
      <c r="H114" s="11"/>
      <c r="I114" s="8"/>
    </row>
    <row r="115" spans="6:9" x14ac:dyDescent="0.55000000000000004">
      <c r="F115" s="11"/>
      <c r="G115" s="8"/>
      <c r="H115" s="11"/>
      <c r="I115" s="8"/>
    </row>
    <row r="116" spans="6:9" x14ac:dyDescent="0.55000000000000004">
      <c r="F116" s="11"/>
      <c r="G116" s="8"/>
      <c r="H116" s="11"/>
      <c r="I116" s="8"/>
    </row>
    <row r="117" spans="6:9" x14ac:dyDescent="0.55000000000000004">
      <c r="F117" s="11"/>
      <c r="G117" s="8"/>
      <c r="H117" s="11"/>
      <c r="I117" s="8"/>
    </row>
    <row r="118" spans="6:9" x14ac:dyDescent="0.55000000000000004">
      <c r="F118" s="11"/>
      <c r="G118" s="8"/>
      <c r="H118" s="11"/>
      <c r="I118" s="8"/>
    </row>
    <row r="119" spans="6:9" x14ac:dyDescent="0.55000000000000004">
      <c r="F119" s="11"/>
      <c r="G119" s="8"/>
      <c r="H119" s="11"/>
      <c r="I119" s="8"/>
    </row>
    <row r="120" spans="6:9" x14ac:dyDescent="0.55000000000000004">
      <c r="F120" s="11"/>
      <c r="G120" s="8"/>
      <c r="H120" s="11"/>
      <c r="I120" s="8"/>
    </row>
    <row r="121" spans="6:9" x14ac:dyDescent="0.55000000000000004">
      <c r="F121" s="11"/>
      <c r="G121" s="8"/>
      <c r="H121" s="11"/>
      <c r="I121" s="8"/>
    </row>
    <row r="122" spans="6:9" x14ac:dyDescent="0.55000000000000004">
      <c r="F122" s="11"/>
      <c r="G122" s="8"/>
      <c r="H122" s="11"/>
      <c r="I122" s="8"/>
    </row>
    <row r="123" spans="6:9" x14ac:dyDescent="0.55000000000000004">
      <c r="F123" s="11"/>
      <c r="G123" s="8"/>
      <c r="H123" s="11"/>
      <c r="I123" s="8"/>
    </row>
    <row r="124" spans="6:9" x14ac:dyDescent="0.55000000000000004">
      <c r="F124" s="11"/>
      <c r="G124" s="8"/>
      <c r="H124" s="11"/>
      <c r="I124" s="8"/>
    </row>
    <row r="125" spans="6:9" x14ac:dyDescent="0.55000000000000004">
      <c r="F125" s="11"/>
      <c r="G125" s="8"/>
      <c r="H125" s="11"/>
      <c r="I125" s="8"/>
    </row>
    <row r="126" spans="6:9" x14ac:dyDescent="0.55000000000000004">
      <c r="F126" s="11"/>
      <c r="G126" s="8"/>
      <c r="H126" s="11"/>
      <c r="I126" s="8"/>
    </row>
    <row r="127" spans="6:9" x14ac:dyDescent="0.55000000000000004">
      <c r="F127" s="11"/>
      <c r="G127" s="8"/>
      <c r="H127" s="11"/>
      <c r="I127" s="8"/>
    </row>
    <row r="128" spans="6:9" x14ac:dyDescent="0.55000000000000004">
      <c r="F128" s="11"/>
      <c r="G128" s="8"/>
      <c r="H128" s="11"/>
      <c r="I128" s="8"/>
    </row>
    <row r="129" spans="6:9" x14ac:dyDescent="0.55000000000000004">
      <c r="F129" s="11"/>
      <c r="G129" s="8"/>
      <c r="H129" s="11"/>
      <c r="I129" s="8"/>
    </row>
    <row r="130" spans="6:9" x14ac:dyDescent="0.55000000000000004">
      <c r="F130" s="11"/>
      <c r="G130" s="8"/>
      <c r="H130" s="11"/>
      <c r="I130" s="8"/>
    </row>
    <row r="131" spans="6:9" x14ac:dyDescent="0.55000000000000004">
      <c r="F131" s="11"/>
      <c r="G131" s="8"/>
      <c r="H131" s="11"/>
      <c r="I131" s="8"/>
    </row>
    <row r="132" spans="6:9" x14ac:dyDescent="0.55000000000000004">
      <c r="F132" s="11"/>
      <c r="G132" s="8"/>
      <c r="H132" s="11"/>
      <c r="I132" s="8"/>
    </row>
    <row r="133" spans="6:9" x14ac:dyDescent="0.55000000000000004">
      <c r="F133" s="11"/>
      <c r="G133" s="8"/>
      <c r="H133" s="11"/>
      <c r="I133" s="8"/>
    </row>
    <row r="134" spans="6:9" x14ac:dyDescent="0.55000000000000004">
      <c r="F134" s="11"/>
      <c r="G134" s="8"/>
      <c r="H134" s="11"/>
      <c r="I134" s="8"/>
    </row>
    <row r="135" spans="6:9" x14ac:dyDescent="0.55000000000000004">
      <c r="F135" s="11"/>
      <c r="G135" s="8"/>
      <c r="H135" s="11"/>
      <c r="I135" s="8"/>
    </row>
    <row r="136" spans="6:9" x14ac:dyDescent="0.55000000000000004">
      <c r="F136" s="11"/>
      <c r="G136" s="8"/>
      <c r="H136" s="11"/>
      <c r="I136" s="8"/>
    </row>
    <row r="137" spans="6:9" x14ac:dyDescent="0.55000000000000004">
      <c r="F137" s="11"/>
      <c r="G137" s="8"/>
      <c r="H137" s="11"/>
      <c r="I137" s="8"/>
    </row>
    <row r="138" spans="6:9" x14ac:dyDescent="0.55000000000000004">
      <c r="F138" s="11"/>
      <c r="G138" s="8"/>
      <c r="H138" s="11"/>
      <c r="I138" s="8"/>
    </row>
    <row r="139" spans="6:9" x14ac:dyDescent="0.55000000000000004">
      <c r="F139" s="11"/>
      <c r="G139" s="8"/>
      <c r="H139" s="11"/>
      <c r="I139" s="8"/>
    </row>
    <row r="140" spans="6:9" x14ac:dyDescent="0.55000000000000004">
      <c r="F140" s="11"/>
      <c r="G140" s="8"/>
      <c r="H140" s="11"/>
      <c r="I140" s="8"/>
    </row>
    <row r="141" spans="6:9" x14ac:dyDescent="0.55000000000000004">
      <c r="F141" s="11"/>
      <c r="G141" s="8"/>
      <c r="H141" s="11"/>
      <c r="I141" s="8"/>
    </row>
    <row r="142" spans="6:9" x14ac:dyDescent="0.55000000000000004">
      <c r="F142" s="11"/>
      <c r="G142" s="8"/>
      <c r="H142" s="11"/>
      <c r="I142" s="8"/>
    </row>
    <row r="143" spans="6:9" x14ac:dyDescent="0.55000000000000004">
      <c r="F143" s="11"/>
      <c r="G143" s="8"/>
      <c r="I143" s="8"/>
    </row>
    <row r="144" spans="6:9" x14ac:dyDescent="0.55000000000000004">
      <c r="F144" s="11"/>
      <c r="G144" s="8"/>
      <c r="I144" s="8"/>
    </row>
    <row r="145" spans="6:9" x14ac:dyDescent="0.55000000000000004">
      <c r="F145" s="11"/>
      <c r="G145" s="8"/>
      <c r="I145" s="8"/>
    </row>
    <row r="146" spans="6:9" x14ac:dyDescent="0.55000000000000004">
      <c r="F146" s="11"/>
      <c r="G146" s="8"/>
      <c r="I146" s="8"/>
    </row>
    <row r="147" spans="6:9" x14ac:dyDescent="0.55000000000000004">
      <c r="F147" s="11"/>
      <c r="G147" s="8"/>
      <c r="I147" s="8"/>
    </row>
    <row r="148" spans="6:9" x14ac:dyDescent="0.55000000000000004">
      <c r="F148" s="11"/>
      <c r="G148" s="8"/>
      <c r="I148" s="8"/>
    </row>
    <row r="149" spans="6:9" x14ac:dyDescent="0.55000000000000004">
      <c r="F149" s="11"/>
      <c r="G149" s="8"/>
      <c r="I149" s="8"/>
    </row>
    <row r="150" spans="6:9" x14ac:dyDescent="0.55000000000000004">
      <c r="F150" s="11"/>
      <c r="G150" s="8"/>
      <c r="I150" s="8"/>
    </row>
    <row r="151" spans="6:9" x14ac:dyDescent="0.55000000000000004">
      <c r="F151" s="11"/>
      <c r="G151" s="8"/>
      <c r="I151" s="8"/>
    </row>
    <row r="152" spans="6:9" x14ac:dyDescent="0.55000000000000004">
      <c r="F152" s="11"/>
      <c r="G152" s="8"/>
      <c r="I152" s="8"/>
    </row>
    <row r="153" spans="6:9" x14ac:dyDescent="0.55000000000000004">
      <c r="F153" s="11"/>
      <c r="G153" s="8"/>
      <c r="I153" s="8"/>
    </row>
    <row r="154" spans="6:9" x14ac:dyDescent="0.55000000000000004">
      <c r="F154" s="11"/>
      <c r="G154" s="8"/>
      <c r="I154" s="8"/>
    </row>
    <row r="155" spans="6:9" x14ac:dyDescent="0.55000000000000004">
      <c r="F155" s="11"/>
      <c r="G155" s="8"/>
      <c r="I155" s="8"/>
    </row>
    <row r="156" spans="6:9" x14ac:dyDescent="0.55000000000000004">
      <c r="F156" s="11"/>
      <c r="G156" s="8"/>
      <c r="I156" s="8"/>
    </row>
    <row r="157" spans="6:9" x14ac:dyDescent="0.55000000000000004">
      <c r="F157" s="11"/>
      <c r="G157" s="8"/>
      <c r="I157" s="8"/>
    </row>
    <row r="158" spans="6:9" x14ac:dyDescent="0.55000000000000004">
      <c r="F158" s="11"/>
      <c r="G158" s="8"/>
      <c r="I158" s="8"/>
    </row>
    <row r="159" spans="6:9" x14ac:dyDescent="0.55000000000000004">
      <c r="F159" s="11"/>
      <c r="G159" s="8"/>
      <c r="I159" s="8"/>
    </row>
    <row r="160" spans="6:9" x14ac:dyDescent="0.55000000000000004">
      <c r="F160" s="11"/>
      <c r="G160" s="8"/>
      <c r="I160" s="8"/>
    </row>
    <row r="161" spans="6:9" x14ac:dyDescent="0.55000000000000004">
      <c r="F161" s="11"/>
      <c r="G161" s="8"/>
      <c r="I161" s="8"/>
    </row>
    <row r="162" spans="6:9" x14ac:dyDescent="0.55000000000000004">
      <c r="F162" s="11"/>
      <c r="G162" s="8"/>
      <c r="I162" s="8"/>
    </row>
    <row r="163" spans="6:9" x14ac:dyDescent="0.55000000000000004">
      <c r="F163" s="11"/>
      <c r="G163" s="8"/>
      <c r="I163" s="8"/>
    </row>
    <row r="164" spans="6:9" x14ac:dyDescent="0.55000000000000004">
      <c r="F164" s="11"/>
      <c r="G164" s="8"/>
      <c r="I164" s="8"/>
    </row>
    <row r="165" spans="6:9" x14ac:dyDescent="0.55000000000000004">
      <c r="F165" s="11"/>
      <c r="G165" s="8"/>
    </row>
    <row r="166" spans="6:9" x14ac:dyDescent="0.55000000000000004">
      <c r="F166" s="11"/>
      <c r="G166" s="8"/>
    </row>
    <row r="167" spans="6:9" x14ac:dyDescent="0.55000000000000004">
      <c r="F167" s="11"/>
      <c r="G167" s="8"/>
    </row>
    <row r="168" spans="6:9" x14ac:dyDescent="0.55000000000000004">
      <c r="F168" s="11"/>
      <c r="G168" s="8"/>
    </row>
    <row r="169" spans="6:9" x14ac:dyDescent="0.55000000000000004">
      <c r="F169" s="11"/>
      <c r="G169" s="8"/>
    </row>
    <row r="170" spans="6:9" x14ac:dyDescent="0.55000000000000004">
      <c r="F170" s="11"/>
      <c r="G170" s="8"/>
    </row>
    <row r="171" spans="6:9" x14ac:dyDescent="0.55000000000000004">
      <c r="F171" s="11"/>
      <c r="G171" s="8"/>
    </row>
    <row r="172" spans="6:9" x14ac:dyDescent="0.55000000000000004">
      <c r="F172" s="11"/>
      <c r="G172" s="8"/>
    </row>
    <row r="173" spans="6:9" x14ac:dyDescent="0.55000000000000004">
      <c r="F173" s="11"/>
      <c r="G173" s="8"/>
    </row>
    <row r="174" spans="6:9" x14ac:dyDescent="0.55000000000000004">
      <c r="F174" s="11"/>
      <c r="G174" s="8"/>
    </row>
    <row r="175" spans="6:9" x14ac:dyDescent="0.55000000000000004">
      <c r="F175" s="11"/>
      <c r="G175" s="8"/>
    </row>
    <row r="176" spans="6:9" x14ac:dyDescent="0.55000000000000004">
      <c r="F176" s="11"/>
      <c r="G176" s="8"/>
    </row>
    <row r="177" spans="6:7" x14ac:dyDescent="0.55000000000000004">
      <c r="F177" s="11"/>
      <c r="G177" s="8"/>
    </row>
    <row r="178" spans="6:7" x14ac:dyDescent="0.55000000000000004">
      <c r="F178" s="11"/>
      <c r="G178" s="8"/>
    </row>
    <row r="179" spans="6:7" x14ac:dyDescent="0.55000000000000004">
      <c r="F179" s="11"/>
      <c r="G179" s="8"/>
    </row>
    <row r="180" spans="6:7" x14ac:dyDescent="0.55000000000000004">
      <c r="F180" s="11"/>
      <c r="G180" s="8"/>
    </row>
    <row r="181" spans="6:7" x14ac:dyDescent="0.55000000000000004">
      <c r="F181" s="11"/>
      <c r="G181" s="8"/>
    </row>
    <row r="182" spans="6:7" x14ac:dyDescent="0.55000000000000004">
      <c r="F182" s="11"/>
      <c r="G182" s="8"/>
    </row>
    <row r="183" spans="6:7" x14ac:dyDescent="0.55000000000000004">
      <c r="F183" s="11"/>
      <c r="G183" s="8"/>
    </row>
    <row r="184" spans="6:7" x14ac:dyDescent="0.55000000000000004">
      <c r="F184" s="11"/>
      <c r="G184" s="8"/>
    </row>
    <row r="185" spans="6:7" x14ac:dyDescent="0.55000000000000004">
      <c r="F185" s="11"/>
      <c r="G185" s="8"/>
    </row>
    <row r="186" spans="6:7" x14ac:dyDescent="0.55000000000000004">
      <c r="F186" s="11"/>
      <c r="G186" s="8"/>
    </row>
    <row r="187" spans="6:7" x14ac:dyDescent="0.55000000000000004">
      <c r="G187" s="8"/>
    </row>
    <row r="188" spans="6:7" x14ac:dyDescent="0.55000000000000004">
      <c r="G188" s="8"/>
    </row>
    <row r="189" spans="6:7" x14ac:dyDescent="0.55000000000000004">
      <c r="G189" s="8"/>
    </row>
    <row r="190" spans="6:7" x14ac:dyDescent="0.55000000000000004">
      <c r="G190" s="8"/>
    </row>
    <row r="191" spans="6:7" x14ac:dyDescent="0.55000000000000004">
      <c r="G191" s="8"/>
    </row>
    <row r="192" spans="6:7" x14ac:dyDescent="0.55000000000000004">
      <c r="G192" s="8"/>
    </row>
    <row r="193" spans="7:7" x14ac:dyDescent="0.55000000000000004">
      <c r="G193" s="8"/>
    </row>
    <row r="194" spans="7:7" x14ac:dyDescent="0.55000000000000004">
      <c r="G194" s="8"/>
    </row>
    <row r="195" spans="7:7" x14ac:dyDescent="0.55000000000000004">
      <c r="G195" s="8"/>
    </row>
    <row r="196" spans="7:7" x14ac:dyDescent="0.55000000000000004">
      <c r="G196" s="8"/>
    </row>
    <row r="197" spans="7:7" x14ac:dyDescent="0.55000000000000004">
      <c r="G197" s="8"/>
    </row>
    <row r="198" spans="7:7" x14ac:dyDescent="0.55000000000000004">
      <c r="G198" s="8"/>
    </row>
    <row r="199" spans="7:7" x14ac:dyDescent="0.55000000000000004">
      <c r="G199" s="8"/>
    </row>
    <row r="200" spans="7:7" x14ac:dyDescent="0.55000000000000004">
      <c r="G200" s="8"/>
    </row>
    <row r="201" spans="7:7" x14ac:dyDescent="0.55000000000000004">
      <c r="G201" s="8"/>
    </row>
    <row r="202" spans="7:7" x14ac:dyDescent="0.55000000000000004">
      <c r="G202" s="8"/>
    </row>
    <row r="203" spans="7:7" x14ac:dyDescent="0.55000000000000004">
      <c r="G203" s="8"/>
    </row>
    <row r="204" spans="7:7" x14ac:dyDescent="0.55000000000000004">
      <c r="G204" s="8"/>
    </row>
    <row r="205" spans="7:7" x14ac:dyDescent="0.55000000000000004">
      <c r="G205" s="8"/>
    </row>
    <row r="206" spans="7:7" x14ac:dyDescent="0.55000000000000004">
      <c r="G206" s="8"/>
    </row>
    <row r="207" spans="7:7" x14ac:dyDescent="0.55000000000000004">
      <c r="G207" s="8"/>
    </row>
    <row r="208" spans="7:7" x14ac:dyDescent="0.55000000000000004">
      <c r="G208" s="8"/>
    </row>
  </sheetData>
  <mergeCells count="3">
    <mergeCell ref="D8:E8"/>
    <mergeCell ref="F8:G8"/>
    <mergeCell ref="H8:I8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22</vt:i4>
      </vt:variant>
    </vt:vector>
  </HeadingPairs>
  <TitlesOfParts>
    <vt:vector size="25" baseType="lpstr">
      <vt:lpstr>Elementary</vt:lpstr>
      <vt:lpstr>Simulation</vt:lpstr>
      <vt:lpstr>Simulation (2)</vt:lpstr>
      <vt:lpstr>'Simulation (2)'!dt</vt:lpstr>
      <vt:lpstr>dt</vt:lpstr>
      <vt:lpstr>'Simulation (2)'!error</vt:lpstr>
      <vt:lpstr>error</vt:lpstr>
      <vt:lpstr>'Simulation (2)'!f</vt:lpstr>
      <vt:lpstr>f</vt:lpstr>
      <vt:lpstr>'Simulation (2)'!hedge</vt:lpstr>
      <vt:lpstr>hedge</vt:lpstr>
      <vt:lpstr>'Simulation (2)'!k</vt:lpstr>
      <vt:lpstr>k</vt:lpstr>
      <vt:lpstr>'Simulation (2)'!last</vt:lpstr>
      <vt:lpstr>last</vt:lpstr>
      <vt:lpstr>'Simulation (2)'!mu</vt:lpstr>
      <vt:lpstr>mu</vt:lpstr>
      <vt:lpstr>'Simulation (2)'!payoff</vt:lpstr>
      <vt:lpstr>payoff</vt:lpstr>
      <vt:lpstr>'Simulation (2)'!put</vt:lpstr>
      <vt:lpstr>put</vt:lpstr>
      <vt:lpstr>'Simulation (2)'!sigma</vt:lpstr>
      <vt:lpstr>sigma</vt:lpstr>
      <vt:lpstr>'Simulation (2)'!t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2026-02-23T20:58:14Z</dcterms:created>
  <dcterms:modified xsi:type="dcterms:W3CDTF">2026-03-07T19:58:38Z</dcterms:modified>
</cp:coreProperties>
</file>